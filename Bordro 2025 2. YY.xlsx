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9912ece5a0b436c/Desktop/"/>
    </mc:Choice>
  </mc:AlternateContent>
  <xr:revisionPtr revIDLastSave="5" documentId="8_{FFA7924A-8655-48B4-B8B8-07A4FE377500}" xr6:coauthVersionLast="47" xr6:coauthVersionMax="47" xr10:uidLastSave="{5F09D243-7011-4DCC-A6B1-D782D3D04FEC}"/>
  <bookViews>
    <workbookView xWindow="-120" yWindow="-120" windowWidth="29040" windowHeight="15720" activeTab="2" xr2:uid="{00000000-000D-0000-FFFF-FFFF00000000}"/>
  </bookViews>
  <sheets>
    <sheet name="2025 Ocak Bütçe" sheetId="15" r:id="rId1"/>
    <sheet name="2024 Ocak Bodro" sheetId="16" r:id="rId2"/>
    <sheet name="2026 Şubat Bütçe" sheetId="17" r:id="rId3"/>
    <sheet name="2026 Şubat Bodro" sheetId="19" r:id="rId4"/>
    <sheet name="2024  " sheetId="18" r:id="rId5"/>
    <sheet name="faz" sheetId="20" r:id="rId6"/>
    <sheet name="Sayfa1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4" i="20" l="1"/>
  <c r="F26" i="20"/>
  <c r="M13" i="20" l="1"/>
  <c r="N13" i="20" s="1"/>
  <c r="M14" i="20"/>
  <c r="N14" i="20" s="1"/>
  <c r="M15" i="20"/>
  <c r="N15" i="20"/>
  <c r="M16" i="20"/>
  <c r="N16" i="20" s="1"/>
  <c r="M17" i="20"/>
  <c r="N17" i="20"/>
  <c r="M18" i="20"/>
  <c r="N18" i="20"/>
  <c r="M19" i="20"/>
  <c r="N19" i="20"/>
  <c r="M20" i="20"/>
  <c r="N20" i="20"/>
  <c r="M21" i="20"/>
  <c r="N21" i="20" s="1"/>
  <c r="M22" i="20"/>
  <c r="N22" i="20" s="1"/>
  <c r="M23" i="20"/>
  <c r="N23" i="20" s="1"/>
  <c r="M24" i="20"/>
  <c r="M25" i="20"/>
  <c r="N25" i="20"/>
  <c r="M12" i="20"/>
  <c r="N12" i="20" s="1"/>
  <c r="U26" i="20"/>
  <c r="T26" i="20"/>
  <c r="S26" i="20"/>
  <c r="R26" i="20"/>
  <c r="L26" i="20"/>
  <c r="K26" i="20"/>
  <c r="J26" i="20"/>
  <c r="I26" i="20"/>
  <c r="H26" i="20"/>
  <c r="G26" i="20"/>
  <c r="M15" i="18"/>
  <c r="M16" i="18"/>
  <c r="M17" i="18"/>
  <c r="M18" i="18"/>
  <c r="M19" i="18"/>
  <c r="M20" i="18"/>
  <c r="M21" i="18"/>
  <c r="M22" i="18"/>
  <c r="M23" i="18"/>
  <c r="L28" i="19"/>
  <c r="K28" i="19"/>
  <c r="J28" i="19"/>
  <c r="H28" i="19"/>
  <c r="G28" i="19"/>
  <c r="M27" i="19"/>
  <c r="I27" i="19"/>
  <c r="Q26" i="19"/>
  <c r="P26" i="19"/>
  <c r="V26" i="19" s="1"/>
  <c r="O26" i="19"/>
  <c r="N26" i="19"/>
  <c r="M26" i="19"/>
  <c r="I26" i="19"/>
  <c r="M25" i="19"/>
  <c r="Q24" i="19"/>
  <c r="M24" i="19"/>
  <c r="N24" i="19" s="1"/>
  <c r="O24" i="19" s="1"/>
  <c r="M23" i="19"/>
  <c r="I23" i="19"/>
  <c r="H23" i="19"/>
  <c r="M22" i="19"/>
  <c r="I22" i="19"/>
  <c r="H22" i="19"/>
  <c r="H21" i="19"/>
  <c r="M21" i="19" s="1"/>
  <c r="H20" i="19"/>
  <c r="I20" i="19" s="1"/>
  <c r="H19" i="19"/>
  <c r="M19" i="19" s="1"/>
  <c r="Q18" i="19"/>
  <c r="M18" i="19"/>
  <c r="H18" i="19"/>
  <c r="H17" i="19"/>
  <c r="M17" i="19" s="1"/>
  <c r="M16" i="19"/>
  <c r="H16" i="19"/>
  <c r="H15" i="19"/>
  <c r="M15" i="19" s="1"/>
  <c r="Q14" i="19"/>
  <c r="N14" i="19"/>
  <c r="P14" i="19" s="1"/>
  <c r="V14" i="19" s="1"/>
  <c r="M14" i="19"/>
  <c r="H14" i="19"/>
  <c r="M13" i="19"/>
  <c r="M12" i="19"/>
  <c r="L28" i="18"/>
  <c r="K28" i="18"/>
  <c r="J28" i="18"/>
  <c r="G28" i="18"/>
  <c r="Q27" i="18"/>
  <c r="M27" i="18"/>
  <c r="N27" i="18" s="1"/>
  <c r="I27" i="18"/>
  <c r="M26" i="18"/>
  <c r="N26" i="18" s="1"/>
  <c r="I26" i="18"/>
  <c r="W24" i="16"/>
  <c r="M26" i="20" l="1"/>
  <c r="N26" i="20"/>
  <c r="Q26" i="20"/>
  <c r="W26" i="19"/>
  <c r="X26" i="19" s="1"/>
  <c r="O14" i="19"/>
  <c r="Q22" i="19"/>
  <c r="N22" i="19"/>
  <c r="R23" i="19"/>
  <c r="S23" i="19" s="1"/>
  <c r="T23" i="19"/>
  <c r="U23" i="19" s="1"/>
  <c r="Q23" i="19"/>
  <c r="N16" i="19"/>
  <c r="M28" i="19"/>
  <c r="Q12" i="19"/>
  <c r="Q16" i="19"/>
  <c r="P24" i="19"/>
  <c r="V24" i="19" s="1"/>
  <c r="I21" i="19"/>
  <c r="N18" i="19"/>
  <c r="T22" i="19"/>
  <c r="U22" i="19" s="1"/>
  <c r="R22" i="19"/>
  <c r="S22" i="19" s="1"/>
  <c r="Q19" i="19"/>
  <c r="N19" i="19"/>
  <c r="Q15" i="19"/>
  <c r="N15" i="19"/>
  <c r="N23" i="19"/>
  <c r="T20" i="19"/>
  <c r="U20" i="19" s="1"/>
  <c r="R20" i="19"/>
  <c r="S20" i="19" s="1"/>
  <c r="N12" i="19"/>
  <c r="Q17" i="19"/>
  <c r="N17" i="19"/>
  <c r="Q21" i="19"/>
  <c r="N21" i="19"/>
  <c r="X14" i="19"/>
  <c r="N25" i="19"/>
  <c r="M20" i="19"/>
  <c r="I19" i="19"/>
  <c r="N27" i="19"/>
  <c r="N13" i="19"/>
  <c r="Q25" i="19"/>
  <c r="Q27" i="19"/>
  <c r="Q13" i="19"/>
  <c r="P26" i="18"/>
  <c r="V26" i="18" s="1"/>
  <c r="W26" i="18" s="1"/>
  <c r="O26" i="18"/>
  <c r="O27" i="18"/>
  <c r="P27" i="18"/>
  <c r="V27" i="18" s="1"/>
  <c r="H28" i="18"/>
  <c r="Q26" i="18"/>
  <c r="Q28" i="18"/>
  <c r="M28" i="18"/>
  <c r="E20" i="17"/>
  <c r="K8" i="17"/>
  <c r="M8" i="17" s="1"/>
  <c r="M4" i="17"/>
  <c r="L20" i="17" s="1"/>
  <c r="J4" i="17"/>
  <c r="L4" i="17" s="1"/>
  <c r="L6" i="17" s="1"/>
  <c r="L28" i="16"/>
  <c r="K28" i="16"/>
  <c r="J28" i="16"/>
  <c r="G28" i="16"/>
  <c r="M27" i="16"/>
  <c r="I27" i="16"/>
  <c r="M26" i="16"/>
  <c r="N26" i="16" s="1"/>
  <c r="I26" i="16"/>
  <c r="M25" i="16"/>
  <c r="M24" i="16"/>
  <c r="N24" i="16" s="1"/>
  <c r="H23" i="16"/>
  <c r="M23" i="16" s="1"/>
  <c r="N23" i="16" s="1"/>
  <c r="P23" i="16" s="1"/>
  <c r="H22" i="16"/>
  <c r="M22" i="16" s="1"/>
  <c r="H21" i="16"/>
  <c r="M21" i="16" s="1"/>
  <c r="H20" i="16"/>
  <c r="M20" i="16" s="1"/>
  <c r="H19" i="16"/>
  <c r="I19" i="16" s="1"/>
  <c r="H18" i="16"/>
  <c r="M18" i="16" s="1"/>
  <c r="N18" i="16" s="1"/>
  <c r="H17" i="16"/>
  <c r="M17" i="16" s="1"/>
  <c r="H16" i="16"/>
  <c r="M16" i="16" s="1"/>
  <c r="H15" i="16"/>
  <c r="M15" i="16" s="1"/>
  <c r="H14" i="16"/>
  <c r="M14" i="16" s="1"/>
  <c r="N14" i="16" s="1"/>
  <c r="M13" i="16"/>
  <c r="Q13" i="16" s="1"/>
  <c r="M12" i="16"/>
  <c r="Q12" i="16" s="1"/>
  <c r="I20" i="15"/>
  <c r="E20" i="15"/>
  <c r="K8" i="15"/>
  <c r="L8" i="15" s="1"/>
  <c r="M8" i="15" s="1"/>
  <c r="M4" i="15"/>
  <c r="M20" i="15" s="1"/>
  <c r="J4" i="15"/>
  <c r="L4" i="15" s="1"/>
  <c r="L6" i="15" s="1"/>
  <c r="M28" i="7"/>
  <c r="M27" i="7"/>
  <c r="M26" i="7"/>
  <c r="M25" i="7"/>
  <c r="M24" i="7"/>
  <c r="M23" i="7"/>
  <c r="M22" i="7"/>
  <c r="M21" i="7"/>
  <c r="M29" i="7" s="1"/>
  <c r="M15" i="7"/>
  <c r="M14" i="7"/>
  <c r="M7" i="7"/>
  <c r="M8" i="7"/>
  <c r="M9" i="7"/>
  <c r="M10" i="7"/>
  <c r="M11" i="7"/>
  <c r="M12" i="7"/>
  <c r="M13" i="7"/>
  <c r="P26" i="20" l="1"/>
  <c r="P13" i="19"/>
  <c r="V13" i="19" s="1"/>
  <c r="X13" i="19" s="1"/>
  <c r="O13" i="19"/>
  <c r="O23" i="19"/>
  <c r="P23" i="19"/>
  <c r="V23" i="19" s="1"/>
  <c r="P27" i="19"/>
  <c r="V27" i="19" s="1"/>
  <c r="O27" i="19"/>
  <c r="P15" i="19"/>
  <c r="V15" i="19" s="1"/>
  <c r="X15" i="19" s="1"/>
  <c r="O15" i="19"/>
  <c r="R19" i="19"/>
  <c r="T19" i="19"/>
  <c r="I28" i="19"/>
  <c r="P16" i="19"/>
  <c r="V16" i="19" s="1"/>
  <c r="X16" i="19" s="1"/>
  <c r="O16" i="19"/>
  <c r="Q20" i="19"/>
  <c r="Q28" i="19" s="1"/>
  <c r="N20" i="19"/>
  <c r="P25" i="19"/>
  <c r="V25" i="19" s="1"/>
  <c r="O25" i="19"/>
  <c r="P19" i="19"/>
  <c r="O19" i="19"/>
  <c r="P21" i="19"/>
  <c r="O21" i="19"/>
  <c r="O18" i="19"/>
  <c r="P18" i="19"/>
  <c r="V18" i="19" s="1"/>
  <c r="X18" i="19" s="1"/>
  <c r="O22" i="19"/>
  <c r="P22" i="19"/>
  <c r="V22" i="19" s="1"/>
  <c r="O17" i="19"/>
  <c r="P17" i="19"/>
  <c r="V17" i="19" s="1"/>
  <c r="X17" i="19" s="1"/>
  <c r="T21" i="19"/>
  <c r="U21" i="19" s="1"/>
  <c r="R21" i="19"/>
  <c r="S21" i="19" s="1"/>
  <c r="P12" i="19"/>
  <c r="O12" i="19"/>
  <c r="W24" i="19"/>
  <c r="X24" i="19"/>
  <c r="W27" i="18"/>
  <c r="X27" i="18" s="1"/>
  <c r="X26" i="18"/>
  <c r="I28" i="18"/>
  <c r="T28" i="18"/>
  <c r="U28" i="18"/>
  <c r="S28" i="18"/>
  <c r="R28" i="18"/>
  <c r="Q24" i="16"/>
  <c r="Q26" i="16"/>
  <c r="N13" i="16"/>
  <c r="O13" i="16" s="1"/>
  <c r="I23" i="16"/>
  <c r="T23" i="16" s="1"/>
  <c r="U23" i="16" s="1"/>
  <c r="H28" i="16"/>
  <c r="M19" i="16"/>
  <c r="Q19" i="16" s="1"/>
  <c r="I20" i="17"/>
  <c r="M20" i="17"/>
  <c r="F8" i="17"/>
  <c r="F18" i="17"/>
  <c r="F16" i="17"/>
  <c r="F14" i="17"/>
  <c r="J12" i="17"/>
  <c r="F12" i="17"/>
  <c r="F11" i="17"/>
  <c r="F10" i="17"/>
  <c r="J20" i="17"/>
  <c r="K20" i="17"/>
  <c r="P14" i="16"/>
  <c r="O14" i="16"/>
  <c r="O24" i="16"/>
  <c r="P24" i="16"/>
  <c r="V24" i="16" s="1"/>
  <c r="Q15" i="16"/>
  <c r="N15" i="16"/>
  <c r="Q17" i="16"/>
  <c r="N17" i="16"/>
  <c r="P26" i="16"/>
  <c r="V26" i="16" s="1"/>
  <c r="O26" i="16"/>
  <c r="P18" i="16"/>
  <c r="O18" i="16"/>
  <c r="R19" i="16"/>
  <c r="T19" i="16"/>
  <c r="Q20" i="16"/>
  <c r="N20" i="16"/>
  <c r="Q21" i="16"/>
  <c r="N21" i="16"/>
  <c r="Q22" i="16"/>
  <c r="N22" i="16"/>
  <c r="N16" i="16"/>
  <c r="I22" i="16"/>
  <c r="Q14" i="16"/>
  <c r="Q18" i="16"/>
  <c r="M28" i="16"/>
  <c r="I20" i="16"/>
  <c r="N25" i="16"/>
  <c r="N27" i="16"/>
  <c r="N12" i="16"/>
  <c r="O23" i="16"/>
  <c r="Q16" i="16"/>
  <c r="I21" i="16"/>
  <c r="Q25" i="16"/>
  <c r="P13" i="16"/>
  <c r="V13" i="16" s="1"/>
  <c r="Q27" i="16"/>
  <c r="X13" i="16"/>
  <c r="Q23" i="16"/>
  <c r="N19" i="16"/>
  <c r="F8" i="15"/>
  <c r="F18" i="15"/>
  <c r="F16" i="15"/>
  <c r="F14" i="15"/>
  <c r="J12" i="15"/>
  <c r="F12" i="15"/>
  <c r="F10" i="15"/>
  <c r="F11" i="15"/>
  <c r="J20" i="15"/>
  <c r="K20" i="15"/>
  <c r="L20" i="15"/>
  <c r="V26" i="20" l="1"/>
  <c r="V12" i="19"/>
  <c r="W22" i="19"/>
  <c r="X22" i="19"/>
  <c r="S19" i="19"/>
  <c r="S28" i="19" s="1"/>
  <c r="R28" i="19"/>
  <c r="V21" i="19"/>
  <c r="W27" i="19"/>
  <c r="X27" i="19"/>
  <c r="W25" i="19"/>
  <c r="X25" i="19"/>
  <c r="P20" i="19"/>
  <c r="V20" i="19" s="1"/>
  <c r="O20" i="19"/>
  <c r="T28" i="19"/>
  <c r="U19" i="19"/>
  <c r="U28" i="19" s="1"/>
  <c r="W23" i="19"/>
  <c r="X23" i="19"/>
  <c r="P28" i="18"/>
  <c r="Q28" i="16"/>
  <c r="R23" i="16"/>
  <c r="S23" i="16" s="1"/>
  <c r="V23" i="16"/>
  <c r="W23" i="16" s="1"/>
  <c r="F20" i="17"/>
  <c r="R21" i="16"/>
  <c r="S21" i="16" s="1"/>
  <c r="T21" i="16"/>
  <c r="U21" i="16" s="1"/>
  <c r="O17" i="16"/>
  <c r="P17" i="16"/>
  <c r="V17" i="16" s="1"/>
  <c r="X17" i="16" s="1"/>
  <c r="P12" i="16"/>
  <c r="O12" i="16"/>
  <c r="P27" i="16"/>
  <c r="V27" i="16" s="1"/>
  <c r="O27" i="16"/>
  <c r="R20" i="16"/>
  <c r="S20" i="16" s="1"/>
  <c r="T20" i="16"/>
  <c r="U20" i="16" s="1"/>
  <c r="W26" i="16"/>
  <c r="X26" i="16" s="1"/>
  <c r="P21" i="16"/>
  <c r="O21" i="16"/>
  <c r="P25" i="16"/>
  <c r="V25" i="16" s="1"/>
  <c r="O25" i="16"/>
  <c r="P15" i="16"/>
  <c r="V15" i="16" s="1"/>
  <c r="X15" i="16" s="1"/>
  <c r="O15" i="16"/>
  <c r="P20" i="16"/>
  <c r="O20" i="16"/>
  <c r="X24" i="16"/>
  <c r="I28" i="16"/>
  <c r="S19" i="16"/>
  <c r="T22" i="16"/>
  <c r="U22" i="16" s="1"/>
  <c r="R22" i="16"/>
  <c r="S22" i="16" s="1"/>
  <c r="P22" i="16"/>
  <c r="V22" i="16" s="1"/>
  <c r="O22" i="16"/>
  <c r="O19" i="16"/>
  <c r="P19" i="16"/>
  <c r="U19" i="16"/>
  <c r="P16" i="16"/>
  <c r="V16" i="16" s="1"/>
  <c r="X16" i="16" s="1"/>
  <c r="O16" i="16"/>
  <c r="V18" i="16"/>
  <c r="X18" i="16" s="1"/>
  <c r="V14" i="16"/>
  <c r="X14" i="16" s="1"/>
  <c r="F20" i="15"/>
  <c r="W26" i="20" l="1"/>
  <c r="X26" i="20"/>
  <c r="W20" i="19"/>
  <c r="X20" i="19"/>
  <c r="P28" i="19"/>
  <c r="V19" i="19"/>
  <c r="W21" i="19"/>
  <c r="X21" i="19"/>
  <c r="V28" i="19"/>
  <c r="X12" i="19"/>
  <c r="V28" i="18"/>
  <c r="X28" i="18"/>
  <c r="O30" i="18" s="1"/>
  <c r="W28" i="18"/>
  <c r="V21" i="16"/>
  <c r="X23" i="16"/>
  <c r="W21" i="16"/>
  <c r="X21" i="16"/>
  <c r="R28" i="16"/>
  <c r="T28" i="16"/>
  <c r="W22" i="16"/>
  <c r="X22" i="16"/>
  <c r="S28" i="16"/>
  <c r="W27" i="16"/>
  <c r="X27" i="16"/>
  <c r="V12" i="16"/>
  <c r="P28" i="16"/>
  <c r="V20" i="16"/>
  <c r="U28" i="16"/>
  <c r="V19" i="16"/>
  <c r="W25" i="16"/>
  <c r="X25" i="16" s="1"/>
  <c r="W19" i="19" l="1"/>
  <c r="W28" i="19" s="1"/>
  <c r="X19" i="19"/>
  <c r="X28" i="19" s="1"/>
  <c r="O30" i="19" s="1"/>
  <c r="V28" i="16"/>
  <c r="X12" i="16"/>
  <c r="W19" i="16"/>
  <c r="W20" i="16"/>
  <c r="X20" i="16"/>
  <c r="W28" i="16" l="1"/>
  <c r="X19" i="16"/>
  <c r="X28" i="16"/>
  <c r="O30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H4" authorId="0" shapeId="0" xr:uid="{EEA6083E-B5C5-4DC5-B68C-F5F53AC29B8A}">
      <text>
        <r>
          <rPr>
            <b/>
            <sz val="9"/>
            <color indexed="81"/>
            <rFont val="Tahoma"/>
            <family val="2"/>
            <charset val="162"/>
          </rPr>
          <t>ACER:</t>
        </r>
        <r>
          <rPr>
            <sz val="9"/>
            <color indexed="81"/>
            <rFont val="Tahoma"/>
            <family val="2"/>
            <charset val="162"/>
          </rPr>
          <t xml:space="preserve">
İlkokul</t>
        </r>
      </text>
    </comment>
    <comment ref="H5" authorId="0" shapeId="0" xr:uid="{BBEB9B36-A31E-433A-9CBF-53E87F00DCCF}">
      <text>
        <r>
          <rPr>
            <b/>
            <sz val="9"/>
            <color indexed="81"/>
            <rFont val="Tahoma"/>
            <family val="2"/>
            <charset val="162"/>
          </rPr>
          <t>ACER:</t>
        </r>
        <r>
          <rPr>
            <sz val="9"/>
            <color indexed="81"/>
            <rFont val="Tahoma"/>
            <family val="2"/>
            <charset val="162"/>
          </rPr>
          <t xml:space="preserve">
Anaokulu</t>
        </r>
      </text>
    </comment>
    <comment ref="H8" authorId="0" shapeId="0" xr:uid="{28FE26AE-2C08-426C-9B12-3311405C746B}">
      <text>
        <r>
          <rPr>
            <b/>
            <sz val="9"/>
            <color indexed="81"/>
            <rFont val="Tahoma"/>
            <family val="2"/>
            <charset val="162"/>
          </rPr>
          <t>ACER:</t>
        </r>
        <r>
          <rPr>
            <sz val="9"/>
            <color indexed="81"/>
            <rFont val="Tahoma"/>
            <family val="2"/>
            <charset val="162"/>
          </rPr>
          <t xml:space="preserve">
28 sınıf + Gülşah Işık İlkokul</t>
        </r>
      </text>
    </comment>
    <comment ref="I8" authorId="0" shapeId="0" xr:uid="{FFA2C00C-6FDD-4B48-8638-952CB201A5F0}">
      <text>
        <r>
          <rPr>
            <b/>
            <sz val="9"/>
            <color indexed="81"/>
            <rFont val="Tahoma"/>
            <family val="2"/>
            <charset val="162"/>
          </rPr>
          <t>ACER:</t>
        </r>
        <r>
          <rPr>
            <sz val="9"/>
            <color indexed="81"/>
            <rFont val="Tahoma"/>
            <family val="2"/>
            <charset val="162"/>
          </rPr>
          <t xml:space="preserve">
Hüseyin BAĞCI- Koordinatör için diğer öğretmenlerin girdiği en yüksek ders saati</t>
        </r>
      </text>
    </comment>
    <comment ref="H9" authorId="0" shapeId="0" xr:uid="{BDD1FDE1-4817-4AB7-819F-EFA0798D4461}">
      <text>
        <r>
          <rPr>
            <b/>
            <sz val="9"/>
            <color indexed="81"/>
            <rFont val="Tahoma"/>
            <family val="2"/>
            <charset val="162"/>
          </rPr>
          <t>ACER:</t>
        </r>
        <r>
          <rPr>
            <sz val="9"/>
            <color indexed="81"/>
            <rFont val="Tahoma"/>
            <family val="2"/>
            <charset val="162"/>
          </rPr>
          <t xml:space="preserve">
Anaokulu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H4" authorId="0" shapeId="0" xr:uid="{7C53721D-0A39-4B30-A673-F9029ECBED5F}">
      <text>
        <r>
          <rPr>
            <b/>
            <sz val="9"/>
            <color indexed="81"/>
            <rFont val="Tahoma"/>
            <family val="2"/>
            <charset val="162"/>
          </rPr>
          <t>ACER:</t>
        </r>
        <r>
          <rPr>
            <sz val="9"/>
            <color indexed="81"/>
            <rFont val="Tahoma"/>
            <family val="2"/>
            <charset val="162"/>
          </rPr>
          <t xml:space="preserve">
İlkokul</t>
        </r>
      </text>
    </comment>
    <comment ref="H5" authorId="0" shapeId="0" xr:uid="{C73A1D78-0A00-4C91-B262-776F5B1D8B09}">
      <text>
        <r>
          <rPr>
            <b/>
            <sz val="9"/>
            <color indexed="81"/>
            <rFont val="Tahoma"/>
            <family val="2"/>
            <charset val="162"/>
          </rPr>
          <t>ACER:</t>
        </r>
        <r>
          <rPr>
            <sz val="9"/>
            <color indexed="81"/>
            <rFont val="Tahoma"/>
            <family val="2"/>
            <charset val="162"/>
          </rPr>
          <t xml:space="preserve">
Anaokulu</t>
        </r>
      </text>
    </comment>
    <comment ref="H8" authorId="0" shapeId="0" xr:uid="{BBD1DC20-D3F2-4501-8103-909571A35EDD}">
      <text>
        <r>
          <rPr>
            <b/>
            <sz val="9"/>
            <color indexed="81"/>
            <rFont val="Tahoma"/>
            <family val="2"/>
            <charset val="162"/>
          </rPr>
          <t>ACER:</t>
        </r>
        <r>
          <rPr>
            <sz val="9"/>
            <color indexed="81"/>
            <rFont val="Tahoma"/>
            <family val="2"/>
            <charset val="162"/>
          </rPr>
          <t xml:space="preserve">
28 sınıf + Gülşah Işık İlkokul</t>
        </r>
      </text>
    </comment>
    <comment ref="I8" authorId="0" shapeId="0" xr:uid="{FFFDBF0B-54BC-489A-BDA5-57AED144DCF0}">
      <text>
        <r>
          <rPr>
            <b/>
            <sz val="9"/>
            <color indexed="81"/>
            <rFont val="Tahoma"/>
            <family val="2"/>
            <charset val="162"/>
          </rPr>
          <t>ACER:</t>
        </r>
        <r>
          <rPr>
            <sz val="9"/>
            <color indexed="81"/>
            <rFont val="Tahoma"/>
            <family val="2"/>
            <charset val="162"/>
          </rPr>
          <t xml:space="preserve">
Hüseyin BAĞCI- Koordinatör için diğer öğretmenlerin girdiği en yüksek ders saati</t>
        </r>
      </text>
    </comment>
    <comment ref="H9" authorId="0" shapeId="0" xr:uid="{5D029FA9-EA70-49D9-99FB-BB2BE05160C6}">
      <text>
        <r>
          <rPr>
            <b/>
            <sz val="9"/>
            <color indexed="81"/>
            <rFont val="Tahoma"/>
            <family val="2"/>
            <charset val="162"/>
          </rPr>
          <t>ACER:</t>
        </r>
        <r>
          <rPr>
            <sz val="9"/>
            <color indexed="81"/>
            <rFont val="Tahoma"/>
            <family val="2"/>
            <charset val="162"/>
          </rPr>
          <t xml:space="preserve">
Anaokulu</t>
        </r>
      </text>
    </comment>
  </commentList>
</comments>
</file>

<file path=xl/sharedStrings.xml><?xml version="1.0" encoding="utf-8"?>
<sst xmlns="http://schemas.openxmlformats.org/spreadsheetml/2006/main" count="433" uniqueCount="130">
  <si>
    <t>ÇOCUK KULÜPLERİ ÖRNEK BÜTÇE TABLOSU</t>
  </si>
  <si>
    <t>ÜCRET BELİRLEME TABLOSU</t>
  </si>
  <si>
    <t xml:space="preserve">A                         Aylık İçin Belirlenen Katsayı </t>
  </si>
  <si>
    <t xml:space="preserve">B               Gündüz Öğretimi Göstergesi             </t>
  </si>
  <si>
    <t>Kulüpte Yemek Hizmeti Veriliyor Mu?</t>
  </si>
  <si>
    <t>E
Okulun Belirlediği Saat Ücreti</t>
  </si>
  <si>
    <t>F           Günlük Kulüp Etkinlik Saati Sayısı</t>
  </si>
  <si>
    <t>G                 Aylık İş Günü Sayısı</t>
  </si>
  <si>
    <t>H         Okulun Belirlediği Aylık Ücret (E*F*G)</t>
  </si>
  <si>
    <t>I             Kulübe Katılan Çocuk Sayısı</t>
  </si>
  <si>
    <t>J               Aylık Aidat Toplamı (H*I)</t>
  </si>
  <si>
    <t xml:space="preserve"> K                      En Yüksek Devlet Memuru Brüt Aylığı</t>
  </si>
  <si>
    <t>EVET</t>
  </si>
  <si>
    <t>GİDER KALEMLERİ ÖZET TABLOSU</t>
  </si>
  <si>
    <t>DERS SAATİ TOPLAMI BELİRLEME TABLOSU</t>
  </si>
  <si>
    <t>Genel Toplam</t>
  </si>
  <si>
    <t>GİDER KALEMLERİ</t>
  </si>
  <si>
    <t>ORAN</t>
  </si>
  <si>
    <t>BRÜT MİKTAR</t>
  </si>
  <si>
    <t>Kulüp Grup (sınıf) Sayısı</t>
  </si>
  <si>
    <t>Koordinatörlük</t>
  </si>
  <si>
    <t>Günlük Ders Saati Toplamı</t>
  </si>
  <si>
    <t>Ders Yapılan Gün Sayısı</t>
  </si>
  <si>
    <t>Aylık Toplam Ders Sayısı</t>
  </si>
  <si>
    <t>Temel Giderler (Materyal Alımı, Beslenme, SGK Prim ve Okulun Diğer Giderleri)</t>
  </si>
  <si>
    <t>Denetleme Yetkilisi</t>
  </si>
  <si>
    <t>Kulüp Yönetim Kurulu Başkanı - Müdür</t>
  </si>
  <si>
    <t>Kulüp Yönetim Kurulu Üyesi - Müdür Yardımcısı</t>
  </si>
  <si>
    <t>Hesaplanan Ders Saati ücreti</t>
  </si>
  <si>
    <t>Öğretmen, Usta Öğretici ve Koordinatör Öğretmen</t>
  </si>
  <si>
    <t>YÖNERGEYE GÖRE GÖREVLENDİRİLECEK KİŞİLERİN ALABİLECEĞİ BRÜT ÜCRET ÜST ORANLARI VE ÖDENECEK EN FAZLA BRÜT ÜCRET TUTARLARI TABLOSU</t>
  </si>
  <si>
    <t>Yazışma-Muhasebe İşlerini Yürüten Personel</t>
  </si>
  <si>
    <t>Müdür - Koordinatör Öğretmen</t>
  </si>
  <si>
    <t>Müdür Yardımcısı</t>
  </si>
  <si>
    <t>Kadrolu Öğretmen</t>
  </si>
  <si>
    <t>Usta Öğretici</t>
  </si>
  <si>
    <t>Muhasebe-Temizlik</t>
  </si>
  <si>
    <t>Temizlik Bakım ve Beslenme İşlerini Yürüten Personel</t>
  </si>
  <si>
    <t>Oran</t>
  </si>
  <si>
    <t>TOPLAM</t>
  </si>
  <si>
    <t>Brüt Tavan Ücreti</t>
  </si>
  <si>
    <t>K    U    R     S                B      O       R          D         R         O        S          U</t>
  </si>
  <si>
    <t>DAİRESİ</t>
  </si>
  <si>
    <t>VERGİ DAİRESİ</t>
  </si>
  <si>
    <t>AİT OLDUĞU AY</t>
  </si>
  <si>
    <t xml:space="preserve">İŞ YERİ SİGORTA SİCİL </t>
  </si>
  <si>
    <t>HESAP NO</t>
  </si>
  <si>
    <t>SIRA NO</t>
  </si>
  <si>
    <t>HİZMET ERBABININ</t>
  </si>
  <si>
    <t>ÜCRETLİNİN</t>
  </si>
  <si>
    <t>İşveren
İşsizlik
Sigortası
Pirimi</t>
  </si>
  <si>
    <t>İşveren
Sigorta
Pirimi</t>
  </si>
  <si>
    <t>TAHAHKUK
TOPLAMI</t>
  </si>
  <si>
    <t>Bu Ayın
Gelir Ver.
Matrahı</t>
  </si>
  <si>
    <t>Süregelen
Gelir Ver.
Matrahı</t>
  </si>
  <si>
    <t>K E S İ N T İ L E R</t>
  </si>
  <si>
    <t>KESİNTİLER
TOPLAMI</t>
  </si>
  <si>
    <t>Vergi Muafiyeti</t>
  </si>
  <si>
    <t>NET MAAŞ
TOPLAMI</t>
  </si>
  <si>
    <t>İMZA</t>
  </si>
  <si>
    <t>SINIFI</t>
  </si>
  <si>
    <t>T.C. KİMLİK NO</t>
  </si>
  <si>
    <t>GÖREVİ</t>
  </si>
  <si>
    <t>Bir saat Ücreti</t>
  </si>
  <si>
    <t>İşlenen saat</t>
  </si>
  <si>
    <t>Aylık
 Tutar</t>
  </si>
  <si>
    <t>Sigorta
Matrahı</t>
  </si>
  <si>
    <t>Bütçe Kesintisi</t>
  </si>
  <si>
    <t>Gelir
Vergisi</t>
  </si>
  <si>
    <t>Damga
vergisi</t>
  </si>
  <si>
    <t>Sigorta
Pirimi
İşçi</t>
  </si>
  <si>
    <t xml:space="preserve">Toplam
Sigorta
Pirimi
</t>
  </si>
  <si>
    <t>İşsizlik
Sigorta
Pirimi
İşçi</t>
  </si>
  <si>
    <t xml:space="preserve">Toplam
İşsizlik
Sigorta
Pirimi
</t>
  </si>
  <si>
    <t>ADI SOYADI</t>
  </si>
  <si>
    <t>Müdür</t>
  </si>
  <si>
    <t>Müdür Yard</t>
  </si>
  <si>
    <t>Öğretmen</t>
  </si>
  <si>
    <t>1/B</t>
  </si>
  <si>
    <t>Memur</t>
  </si>
  <si>
    <t>Hizmetli</t>
  </si>
  <si>
    <t>Lira olarak tahahkuk ettirilmiştir</t>
  </si>
  <si>
    <t>Düzenleyen</t>
  </si>
  <si>
    <t>Adı Soyadı</t>
  </si>
  <si>
    <t>İmza</t>
  </si>
  <si>
    <t>YILDIRIM KARA</t>
  </si>
  <si>
    <t>ÖZLEM ÖZDEMİR</t>
  </si>
  <si>
    <t>M. ALİ TUNÇ</t>
  </si>
  <si>
    <t>HAMİT YAZICI</t>
  </si>
  <si>
    <t>ZÜLEYHA DANYILDIZ</t>
  </si>
  <si>
    <t>Özlem ÖZDEMİR</t>
  </si>
  <si>
    <t>Yıldırım KARA</t>
  </si>
  <si>
    <t>KARŞIYAKA ZÜBEYDE HANIM İLKOKULU ÇOCUK KULÜBÜ</t>
  </si>
  <si>
    <t>KARŞIYAKA VERGİ DAİRESİ</t>
  </si>
  <si>
    <t>2/B</t>
  </si>
  <si>
    <t>2/C</t>
  </si>
  <si>
    <t>2/E</t>
  </si>
  <si>
    <t>3/B</t>
  </si>
  <si>
    <t>3/C</t>
  </si>
  <si>
    <t>4/C</t>
  </si>
  <si>
    <t>4/G</t>
  </si>
  <si>
    <t>SEVİLAY ULUSOY</t>
  </si>
  <si>
    <t>SEVİL KAYRAK</t>
  </si>
  <si>
    <t>ZEHRA KASAL</t>
  </si>
  <si>
    <t>S. TARIK ERCAN</t>
  </si>
  <si>
    <t>KADİR ŞİŞMAN</t>
  </si>
  <si>
    <t>ŞEBNEM ŞİŞMAN</t>
  </si>
  <si>
    <t>RABİA ÖNER</t>
  </si>
  <si>
    <t>SEVİL HOCALAR</t>
  </si>
  <si>
    <t>HÜLYA PİŞKİN</t>
  </si>
  <si>
    <t>GELİR VERGİSİ</t>
  </si>
  <si>
    <t>EYLÜL</t>
  </si>
  <si>
    <t>EKİM</t>
  </si>
  <si>
    <t>KASIM</t>
  </si>
  <si>
    <t>Zübeyde Hanım İlkokulu  Çocuk Kulübü   personelinin  Ocak 2026 ayına ait  istihkakları</t>
  </si>
  <si>
    <t>SEVİLAY ULUCAN</t>
  </si>
  <si>
    <t>ÖĞRENCİ SAYISI</t>
  </si>
  <si>
    <t>ARALIK</t>
  </si>
  <si>
    <t>OCAK</t>
  </si>
  <si>
    <t>ŞUBAT</t>
  </si>
  <si>
    <t>FARK</t>
  </si>
  <si>
    <t>10</t>
  </si>
  <si>
    <t>11</t>
  </si>
  <si>
    <t>16</t>
  </si>
  <si>
    <t>8</t>
  </si>
  <si>
    <t>14</t>
  </si>
  <si>
    <t>vergi kesintili</t>
  </si>
  <si>
    <t>Zübeyde Hanım İlkokulu  Çocuk Kulübü   personeline sehven ödenen tutarlar aylık olarak hesaplanmış  elde edilen tutarlar Ocak ayı ödemelerinden kesilmiş  arta kalan tutarlar banka hesabına yatırılmıştır.Ocak 2026</t>
  </si>
  <si>
    <t>Ç  O  C  U  K            K  U  L  Ü  B  Ü        D  Ü  Z  E  L  T  M  E            B    O    R     D      R     O     S      U</t>
  </si>
  <si>
    <t>Sevilay ULUCAN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</si>
</sst>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₺&quot;#,##0.00"/>
    <numFmt numFmtId="165" formatCode="[$-41F]mmmm\ yy;@"/>
    <numFmt numFmtId="166" formatCode="0.00;[Red]0.00"/>
  </numFmts>
  <fonts count="24" x14ac:knownFonts="1">
    <font>
      <sz val="11"/>
      <color theme="1"/>
      <name val="Calibri"/>
      <family val="2"/>
      <charset val="162"/>
      <scheme val="minor"/>
    </font>
    <font>
      <b/>
      <sz val="12"/>
      <name val="Arial"/>
      <family val="2"/>
      <charset val="162"/>
    </font>
    <font>
      <b/>
      <sz val="11"/>
      <name val="Arial"/>
      <family val="2"/>
      <charset val="162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sz val="9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sz val="12"/>
      <name val="Arial"/>
      <family val="2"/>
      <charset val="162"/>
    </font>
    <font>
      <sz val="12"/>
      <color theme="1"/>
      <name val="Arial"/>
      <family val="2"/>
      <charset val="162"/>
    </font>
    <font>
      <b/>
      <sz val="14"/>
      <name val="Arial"/>
      <family val="2"/>
      <charset val="162"/>
    </font>
    <font>
      <b/>
      <sz val="12"/>
      <color theme="1"/>
      <name val="Arial"/>
      <family val="2"/>
      <charset val="162"/>
    </font>
    <font>
      <sz val="12"/>
      <name val="Arial Tur"/>
      <charset val="162"/>
    </font>
    <font>
      <b/>
      <sz val="12"/>
      <name val="Arial Tur"/>
      <charset val="162"/>
    </font>
    <font>
      <sz val="14"/>
      <name val="Arial"/>
      <family val="2"/>
      <charset val="162"/>
    </font>
    <font>
      <sz val="8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9"/>
      <color rgb="FFFF0000"/>
      <name val="Arial"/>
      <family val="2"/>
    </font>
    <font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0">
    <xf numFmtId="0" fontId="0" fillId="0" borderId="0" xfId="0"/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4" fontId="0" fillId="0" borderId="1" xfId="0" applyNumberFormat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0" fontId="3" fillId="0" borderId="0" xfId="0" applyFont="1" applyAlignment="1">
      <alignment horizontal="center"/>
    </xf>
    <xf numFmtId="4" fontId="0" fillId="0" borderId="5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4" fontId="0" fillId="0" borderId="1" xfId="0" applyNumberFormat="1" applyBorder="1"/>
    <xf numFmtId="0" fontId="4" fillId="0" borderId="1" xfId="0" applyFont="1" applyBorder="1"/>
    <xf numFmtId="0" fontId="4" fillId="0" borderId="0" xfId="0" applyFont="1"/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2" fontId="4" fillId="0" borderId="1" xfId="0" applyNumberFormat="1" applyFont="1" applyBorder="1" applyAlignment="1">
      <alignment wrapText="1"/>
    </xf>
    <xf numFmtId="0" fontId="3" fillId="0" borderId="1" xfId="0" applyFont="1" applyBorder="1"/>
    <xf numFmtId="9" fontId="4" fillId="0" borderId="1" xfId="0" applyNumberFormat="1" applyFont="1" applyBorder="1" applyAlignment="1">
      <alignment horizontal="center"/>
    </xf>
    <xf numFmtId="4" fontId="4" fillId="0" borderId="1" xfId="0" applyNumberFormat="1" applyFont="1" applyBorder="1"/>
    <xf numFmtId="164" fontId="0" fillId="0" borderId="1" xfId="0" applyNumberFormat="1" applyBorder="1" applyAlignment="1">
      <alignment horizontal="center"/>
    </xf>
    <xf numFmtId="1" fontId="7" fillId="0" borderId="0" xfId="0" applyNumberFormat="1" applyFont="1"/>
    <xf numFmtId="1" fontId="7" fillId="0" borderId="0" xfId="0" applyNumberFormat="1" applyFont="1" applyAlignment="1">
      <alignment horizontal="left"/>
    </xf>
    <xf numFmtId="2" fontId="7" fillId="0" borderId="0" xfId="0" applyNumberFormat="1" applyFont="1"/>
    <xf numFmtId="1" fontId="8" fillId="0" borderId="0" xfId="0" applyNumberFormat="1" applyFont="1"/>
    <xf numFmtId="1" fontId="8" fillId="0" borderId="0" xfId="0" applyNumberFormat="1" applyFont="1" applyAlignment="1">
      <alignment horizontal="left"/>
    </xf>
    <xf numFmtId="1" fontId="9" fillId="0" borderId="0" xfId="0" applyNumberFormat="1" applyFont="1"/>
    <xf numFmtId="165" fontId="7" fillId="0" borderId="0" xfId="0" applyNumberFormat="1" applyFont="1"/>
    <xf numFmtId="1" fontId="7" fillId="0" borderId="5" xfId="0" applyNumberFormat="1" applyFont="1" applyBorder="1" applyAlignment="1">
      <alignment horizontal="center" vertical="center" wrapText="1"/>
    </xf>
    <xf numFmtId="0" fontId="0" fillId="0" borderId="10" xfId="0" applyBorder="1"/>
    <xf numFmtId="1" fontId="7" fillId="0" borderId="5" xfId="0" applyNumberFormat="1" applyFont="1" applyBorder="1" applyAlignment="1">
      <alignment horizontal="center" vertical="center"/>
    </xf>
    <xf numFmtId="0" fontId="0" fillId="0" borderId="9" xfId="0" applyBorder="1"/>
    <xf numFmtId="1" fontId="10" fillId="0" borderId="9" xfId="0" applyNumberFormat="1" applyFont="1" applyBorder="1"/>
    <xf numFmtId="1" fontId="10" fillId="0" borderId="9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vertical="center"/>
    </xf>
    <xf numFmtId="1" fontId="10" fillId="0" borderId="9" xfId="0" applyNumberFormat="1" applyFont="1" applyBorder="1" applyAlignment="1">
      <alignment horizontal="left"/>
    </xf>
    <xf numFmtId="2" fontId="10" fillId="0" borderId="9" xfId="0" applyNumberFormat="1" applyFont="1" applyBorder="1"/>
    <xf numFmtId="2" fontId="10" fillId="0" borderId="9" xfId="0" applyNumberFormat="1" applyFont="1" applyBorder="1" applyAlignment="1">
      <alignment horizontal="right"/>
    </xf>
    <xf numFmtId="2" fontId="11" fillId="0" borderId="9" xfId="0" applyNumberFormat="1" applyFont="1" applyBorder="1"/>
    <xf numFmtId="1" fontId="10" fillId="0" borderId="9" xfId="0" applyNumberFormat="1" applyFont="1" applyBorder="1" applyAlignment="1">
      <alignment horizontal="left" vertical="center"/>
    </xf>
    <xf numFmtId="2" fontId="12" fillId="0" borderId="9" xfId="0" applyNumberFormat="1" applyFont="1" applyBorder="1"/>
    <xf numFmtId="0" fontId="10" fillId="0" borderId="0" xfId="0" applyFont="1"/>
    <xf numFmtId="1" fontId="10" fillId="0" borderId="1" xfId="0" applyNumberFormat="1" applyFont="1" applyBorder="1"/>
    <xf numFmtId="1" fontId="10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vertical="center"/>
    </xf>
    <xf numFmtId="1" fontId="10" fillId="0" borderId="1" xfId="0" applyNumberFormat="1" applyFont="1" applyBorder="1" applyAlignment="1">
      <alignment horizontal="left"/>
    </xf>
    <xf numFmtId="0" fontId="11" fillId="0" borderId="1" xfId="0" applyFont="1" applyBorder="1"/>
    <xf numFmtId="1" fontId="10" fillId="0" borderId="1" xfId="0" applyNumberFormat="1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2" fontId="10" fillId="0" borderId="0" xfId="0" applyNumberFormat="1" applyFont="1"/>
    <xf numFmtId="0" fontId="10" fillId="0" borderId="1" xfId="0" applyFont="1" applyBorder="1" applyAlignment="1" applyProtection="1">
      <alignment horizontal="left" vertical="center"/>
      <protection locked="0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49" fontId="10" fillId="0" borderId="1" xfId="0" applyNumberFormat="1" applyFont="1" applyBorder="1" applyAlignment="1">
      <alignment horizontal="left" vertical="center"/>
    </xf>
    <xf numFmtId="49" fontId="10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vertical="center"/>
    </xf>
    <xf numFmtId="1" fontId="10" fillId="0" borderId="0" xfId="0" applyNumberFormat="1" applyFont="1"/>
    <xf numFmtId="0" fontId="1" fillId="0" borderId="1" xfId="0" applyFont="1" applyBorder="1" applyAlignment="1">
      <alignment vertical="center"/>
    </xf>
    <xf numFmtId="166" fontId="10" fillId="0" borderId="9" xfId="0" applyNumberFormat="1" applyFont="1" applyBorder="1"/>
    <xf numFmtId="0" fontId="11" fillId="0" borderId="1" xfId="0" applyFont="1" applyBorder="1" applyAlignment="1">
      <alignment horizontal="center" vertical="center"/>
    </xf>
    <xf numFmtId="2" fontId="16" fillId="0" borderId="1" xfId="0" applyNumberFormat="1" applyFont="1" applyBorder="1" applyAlignment="1">
      <alignment horizontal="right"/>
    </xf>
    <xf numFmtId="2" fontId="10" fillId="0" borderId="1" xfId="0" applyNumberFormat="1" applyFont="1" applyBorder="1" applyAlignment="1">
      <alignment horizontal="right"/>
    </xf>
    <xf numFmtId="1" fontId="10" fillId="0" borderId="0" xfId="0" applyNumberFormat="1" applyFont="1" applyAlignment="1">
      <alignment horizontal="left"/>
    </xf>
    <xf numFmtId="0" fontId="11" fillId="0" borderId="0" xfId="0" applyFont="1"/>
    <xf numFmtId="1" fontId="10" fillId="0" borderId="0" xfId="0" applyNumberFormat="1" applyFont="1" applyAlignment="1">
      <alignment horizontal="right"/>
    </xf>
    <xf numFmtId="2" fontId="11" fillId="0" borderId="0" xfId="0" applyNumberFormat="1" applyFont="1"/>
    <xf numFmtId="1" fontId="10" fillId="0" borderId="0" xfId="0" applyNumberFormat="1" applyFont="1" applyAlignment="1">
      <alignment horizontal="center"/>
    </xf>
    <xf numFmtId="2" fontId="0" fillId="0" borderId="0" xfId="0" applyNumberFormat="1"/>
    <xf numFmtId="9" fontId="0" fillId="0" borderId="5" xfId="0" applyNumberFormat="1" applyBorder="1" applyAlignment="1">
      <alignment horizontal="center"/>
    </xf>
    <xf numFmtId="4" fontId="0" fillId="0" borderId="5" xfId="0" applyNumberFormat="1" applyBorder="1" applyAlignment="1">
      <alignment horizontal="right" vertical="center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/>
    <xf numFmtId="4" fontId="0" fillId="0" borderId="0" xfId="0" applyNumberFormat="1"/>
    <xf numFmtId="1" fontId="10" fillId="0" borderId="9" xfId="0" applyNumberFormat="1" applyFont="1" applyBorder="1" applyAlignment="1">
      <alignment horizontal="right"/>
    </xf>
    <xf numFmtId="4" fontId="11" fillId="0" borderId="5" xfId="0" applyNumberFormat="1" applyFont="1" applyBorder="1" applyAlignment="1">
      <alignment horizontal="right"/>
    </xf>
    <xf numFmtId="2" fontId="18" fillId="0" borderId="1" xfId="0" applyNumberFormat="1" applyFont="1" applyBorder="1"/>
    <xf numFmtId="0" fontId="19" fillId="0" borderId="1" xfId="0" applyFont="1" applyBorder="1"/>
    <xf numFmtId="2" fontId="19" fillId="0" borderId="1" xfId="0" applyNumberFormat="1" applyFont="1" applyBorder="1"/>
    <xf numFmtId="1" fontId="20" fillId="0" borderId="9" xfId="0" applyNumberFormat="1" applyFont="1" applyBorder="1" applyAlignment="1">
      <alignment vertical="center"/>
    </xf>
    <xf numFmtId="1" fontId="20" fillId="0" borderId="1" xfId="0" applyNumberFormat="1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1" fontId="7" fillId="0" borderId="5" xfId="0" applyNumberFormat="1" applyFont="1" applyBorder="1" applyAlignment="1">
      <alignment vertical="center" wrapText="1"/>
    </xf>
    <xf numFmtId="0" fontId="0" fillId="0" borderId="12" xfId="0" applyBorder="1"/>
    <xf numFmtId="0" fontId="0" fillId="0" borderId="1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" fontId="11" fillId="0" borderId="1" xfId="0" applyNumberFormat="1" applyFont="1" applyBorder="1" applyAlignment="1">
      <alignment horizontal="right"/>
    </xf>
    <xf numFmtId="1" fontId="10" fillId="0" borderId="1" xfId="0" applyNumberFormat="1" applyFont="1" applyBorder="1" applyAlignment="1">
      <alignment horizontal="right"/>
    </xf>
    <xf numFmtId="2" fontId="10" fillId="0" borderId="1" xfId="0" applyNumberFormat="1" applyFont="1" applyBorder="1"/>
    <xf numFmtId="2" fontId="11" fillId="0" borderId="1" xfId="0" applyNumberFormat="1" applyFont="1" applyBorder="1"/>
    <xf numFmtId="1" fontId="7" fillId="0" borderId="11" xfId="0" applyNumberFormat="1" applyFont="1" applyBorder="1" applyAlignment="1">
      <alignment vertical="center"/>
    </xf>
    <xf numFmtId="1" fontId="7" fillId="0" borderId="1" xfId="0" applyNumberFormat="1" applyFont="1" applyBorder="1" applyAlignment="1">
      <alignment vertical="center" wrapText="1"/>
    </xf>
    <xf numFmtId="1" fontId="0" fillId="0" borderId="11" xfId="0" applyNumberFormat="1" applyBorder="1" applyAlignment="1">
      <alignment vertical="center"/>
    </xf>
    <xf numFmtId="1" fontId="0" fillId="0" borderId="5" xfId="0" applyNumberFormat="1" applyBorder="1" applyAlignment="1">
      <alignment vertical="center" wrapText="1"/>
    </xf>
    <xf numFmtId="1" fontId="0" fillId="0" borderId="5" xfId="0" applyNumberFormat="1" applyBorder="1" applyAlignment="1">
      <alignment vertical="top" wrapText="1"/>
    </xf>
    <xf numFmtId="1" fontId="0" fillId="0" borderId="10" xfId="0" applyNumberFormat="1" applyBorder="1" applyAlignment="1">
      <alignment vertical="top" wrapText="1"/>
    </xf>
    <xf numFmtId="1" fontId="0" fillId="0" borderId="9" xfId="0" applyNumberFormat="1" applyBorder="1" applyAlignment="1">
      <alignment vertical="top" wrapText="1"/>
    </xf>
    <xf numFmtId="2" fontId="23" fillId="0" borderId="1" xfId="0" applyNumberFormat="1" applyFont="1" applyBorder="1" applyAlignment="1">
      <alignment horizontal="right"/>
    </xf>
    <xf numFmtId="2" fontId="23" fillId="0" borderId="9" xfId="0" applyNumberFormat="1" applyFont="1" applyBorder="1" applyAlignment="1">
      <alignment horizontal="right"/>
    </xf>
    <xf numFmtId="2" fontId="10" fillId="3" borderId="1" xfId="0" applyNumberFormat="1" applyFont="1" applyFill="1" applyBorder="1"/>
    <xf numFmtId="0" fontId="11" fillId="3" borderId="1" xfId="0" applyFont="1" applyFill="1" applyBorder="1"/>
    <xf numFmtId="166" fontId="10" fillId="3" borderId="9" xfId="0" applyNumberFormat="1" applyFont="1" applyFill="1" applyBorder="1"/>
    <xf numFmtId="2" fontId="10" fillId="3" borderId="9" xfId="0" applyNumberFormat="1" applyFont="1" applyFill="1" applyBorder="1"/>
    <xf numFmtId="2" fontId="23" fillId="3" borderId="9" xfId="0" applyNumberFormat="1" applyFon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4" fontId="0" fillId="0" borderId="2" xfId="0" applyNumberFormat="1" applyBorder="1" applyAlignment="1">
      <alignment horizontal="center"/>
    </xf>
    <xf numFmtId="4" fontId="0" fillId="0" borderId="3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2" fontId="3" fillId="2" borderId="1" xfId="0" applyNumberFormat="1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9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right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4" fontId="0" fillId="0" borderId="5" xfId="0" applyNumberFormat="1" applyBorder="1" applyAlignment="1">
      <alignment horizontal="right" vertical="center"/>
    </xf>
    <xf numFmtId="4" fontId="0" fillId="0" borderId="9" xfId="0" applyNumberFormat="1" applyBorder="1" applyAlignment="1">
      <alignment horizontal="right" vertical="center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1" fontId="8" fillId="0" borderId="0" xfId="0" applyNumberFormat="1" applyFont="1"/>
    <xf numFmtId="0" fontId="0" fillId="0" borderId="0" xfId="0"/>
    <xf numFmtId="1" fontId="7" fillId="0" borderId="5" xfId="0" applyNumberFormat="1" applyFont="1" applyBorder="1" applyAlignment="1">
      <alignment horizontal="center" vertical="center" textRotation="90"/>
    </xf>
    <xf numFmtId="0" fontId="0" fillId="0" borderId="10" xfId="0" applyBorder="1"/>
    <xf numFmtId="0" fontId="0" fillId="0" borderId="9" xfId="0" applyBorder="1"/>
    <xf numFmtId="1" fontId="7" fillId="0" borderId="11" xfId="0" applyNumberFormat="1" applyFont="1" applyBorder="1" applyAlignment="1">
      <alignment horizontal="center" vertical="center"/>
    </xf>
    <xf numFmtId="1" fontId="7" fillId="0" borderId="12" xfId="0" applyNumberFormat="1" applyFont="1" applyBorder="1" applyAlignment="1">
      <alignment horizontal="center" vertical="center"/>
    </xf>
    <xf numFmtId="1" fontId="7" fillId="0" borderId="13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" fontId="7" fillId="0" borderId="5" xfId="0" applyNumberFormat="1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" fontId="0" fillId="0" borderId="11" xfId="0" applyNumberFormat="1" applyBorder="1" applyAlignment="1">
      <alignment horizontal="center" vertical="center"/>
    </xf>
    <xf numFmtId="1" fontId="7" fillId="0" borderId="5" xfId="0" applyNumberFormat="1" applyFont="1" applyBorder="1" applyAlignment="1">
      <alignment vertical="center" wrapText="1"/>
    </xf>
    <xf numFmtId="1" fontId="7" fillId="0" borderId="5" xfId="0" applyNumberFormat="1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 vertical="center" wrapText="1"/>
    </xf>
    <xf numFmtId="2" fontId="0" fillId="0" borderId="10" xfId="0" applyNumberFormat="1" applyBorder="1"/>
    <xf numFmtId="2" fontId="0" fillId="0" borderId="9" xfId="0" applyNumberFormat="1" applyBorder="1"/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1" xfId="0" applyBorder="1" applyAlignment="1">
      <alignment horizontal="center" wrapText="1"/>
    </xf>
    <xf numFmtId="1" fontId="0" fillId="0" borderId="5" xfId="0" applyNumberFormat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top" wrapText="1"/>
    </xf>
    <xf numFmtId="1" fontId="0" fillId="0" borderId="10" xfId="0" applyNumberFormat="1" applyBorder="1" applyAlignment="1">
      <alignment horizontal="center" vertical="top" wrapText="1"/>
    </xf>
    <xf numFmtId="1" fontId="0" fillId="0" borderId="9" xfId="0" applyNumberFormat="1" applyBorder="1" applyAlignment="1">
      <alignment horizontal="center" vertical="top" wrapText="1"/>
    </xf>
    <xf numFmtId="1" fontId="10" fillId="0" borderId="0" xfId="0" applyNumberFormat="1" applyFont="1"/>
    <xf numFmtId="0" fontId="11" fillId="0" borderId="0" xfId="0" applyFont="1"/>
    <xf numFmtId="2" fontId="7" fillId="0" borderId="10" xfId="0" applyNumberFormat="1" applyFont="1" applyBorder="1" applyAlignment="1">
      <alignment horizontal="center" vertical="center" wrapText="1"/>
    </xf>
    <xf numFmtId="2" fontId="7" fillId="0" borderId="9" xfId="0" applyNumberFormat="1" applyFont="1" applyBorder="1" applyAlignment="1">
      <alignment horizontal="center" vertical="center" wrapText="1"/>
    </xf>
    <xf numFmtId="2" fontId="22" fillId="0" borderId="5" xfId="0" applyNumberFormat="1" applyFont="1" applyBorder="1" applyAlignment="1">
      <alignment horizontal="center" vertical="center" wrapText="1"/>
    </xf>
    <xf numFmtId="2" fontId="22" fillId="0" borderId="10" xfId="0" applyNumberFormat="1" applyFont="1" applyBorder="1" applyAlignment="1">
      <alignment horizontal="center" vertical="center" wrapText="1"/>
    </xf>
    <xf numFmtId="2" fontId="22" fillId="0" borderId="9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6EF76-5993-4A4A-9A23-D2957E78611F}">
  <dimension ref="A1:S20"/>
  <sheetViews>
    <sheetView view="pageBreakPreview" zoomScaleNormal="100" zoomScaleSheetLayoutView="100" workbookViewId="0">
      <selection activeCell="M17" sqref="M17:M18"/>
    </sheetView>
  </sheetViews>
  <sheetFormatPr defaultRowHeight="15" x14ac:dyDescent="0.25"/>
  <cols>
    <col min="1" max="2" width="12.7109375" customWidth="1"/>
    <col min="3" max="3" width="11.5703125" customWidth="1"/>
    <col min="4" max="4" width="6.28515625" customWidth="1"/>
    <col min="5" max="5" width="9" customWidth="1"/>
    <col min="6" max="6" width="12.28515625" customWidth="1"/>
    <col min="7" max="7" width="3" customWidth="1"/>
    <col min="8" max="8" width="8" customWidth="1"/>
    <col min="9" max="9" width="10" customWidth="1"/>
    <col min="10" max="10" width="11" customWidth="1"/>
    <col min="11" max="11" width="10" customWidth="1"/>
    <col min="12" max="12" width="12" customWidth="1"/>
    <col min="13" max="13" width="13" customWidth="1"/>
    <col min="256" max="258" width="12.7109375" customWidth="1"/>
    <col min="259" max="259" width="14.28515625" customWidth="1"/>
    <col min="260" max="260" width="12.7109375" customWidth="1"/>
    <col min="261" max="261" width="14" customWidth="1"/>
    <col min="262" max="262" width="3" customWidth="1"/>
    <col min="263" max="263" width="12.7109375" customWidth="1"/>
    <col min="264" max="264" width="14.7109375" customWidth="1"/>
    <col min="265" max="268" width="12.7109375" customWidth="1"/>
    <col min="269" max="269" width="11.140625" bestFit="1" customWidth="1"/>
    <col min="512" max="514" width="12.7109375" customWidth="1"/>
    <col min="515" max="515" width="14.28515625" customWidth="1"/>
    <col min="516" max="516" width="12.7109375" customWidth="1"/>
    <col min="517" max="517" width="14" customWidth="1"/>
    <col min="518" max="518" width="3" customWidth="1"/>
    <col min="519" max="519" width="12.7109375" customWidth="1"/>
    <col min="520" max="520" width="14.7109375" customWidth="1"/>
    <col min="521" max="524" width="12.7109375" customWidth="1"/>
    <col min="525" max="525" width="11.140625" bestFit="1" customWidth="1"/>
    <col min="768" max="770" width="12.7109375" customWidth="1"/>
    <col min="771" max="771" width="14.28515625" customWidth="1"/>
    <col min="772" max="772" width="12.7109375" customWidth="1"/>
    <col min="773" max="773" width="14" customWidth="1"/>
    <col min="774" max="774" width="3" customWidth="1"/>
    <col min="775" max="775" width="12.7109375" customWidth="1"/>
    <col min="776" max="776" width="14.7109375" customWidth="1"/>
    <col min="777" max="780" width="12.7109375" customWidth="1"/>
    <col min="781" max="781" width="11.140625" bestFit="1" customWidth="1"/>
    <col min="1024" max="1026" width="12.7109375" customWidth="1"/>
    <col min="1027" max="1027" width="14.28515625" customWidth="1"/>
    <col min="1028" max="1028" width="12.7109375" customWidth="1"/>
    <col min="1029" max="1029" width="14" customWidth="1"/>
    <col min="1030" max="1030" width="3" customWidth="1"/>
    <col min="1031" max="1031" width="12.7109375" customWidth="1"/>
    <col min="1032" max="1032" width="14.7109375" customWidth="1"/>
    <col min="1033" max="1036" width="12.7109375" customWidth="1"/>
    <col min="1037" max="1037" width="11.140625" bestFit="1" customWidth="1"/>
    <col min="1280" max="1282" width="12.7109375" customWidth="1"/>
    <col min="1283" max="1283" width="14.28515625" customWidth="1"/>
    <col min="1284" max="1284" width="12.7109375" customWidth="1"/>
    <col min="1285" max="1285" width="14" customWidth="1"/>
    <col min="1286" max="1286" width="3" customWidth="1"/>
    <col min="1287" max="1287" width="12.7109375" customWidth="1"/>
    <col min="1288" max="1288" width="14.7109375" customWidth="1"/>
    <col min="1289" max="1292" width="12.7109375" customWidth="1"/>
    <col min="1293" max="1293" width="11.140625" bestFit="1" customWidth="1"/>
    <col min="1536" max="1538" width="12.7109375" customWidth="1"/>
    <col min="1539" max="1539" width="14.28515625" customWidth="1"/>
    <col min="1540" max="1540" width="12.7109375" customWidth="1"/>
    <col min="1541" max="1541" width="14" customWidth="1"/>
    <col min="1542" max="1542" width="3" customWidth="1"/>
    <col min="1543" max="1543" width="12.7109375" customWidth="1"/>
    <col min="1544" max="1544" width="14.7109375" customWidth="1"/>
    <col min="1545" max="1548" width="12.7109375" customWidth="1"/>
    <col min="1549" max="1549" width="11.140625" bestFit="1" customWidth="1"/>
    <col min="1792" max="1794" width="12.7109375" customWidth="1"/>
    <col min="1795" max="1795" width="14.28515625" customWidth="1"/>
    <col min="1796" max="1796" width="12.7109375" customWidth="1"/>
    <col min="1797" max="1797" width="14" customWidth="1"/>
    <col min="1798" max="1798" width="3" customWidth="1"/>
    <col min="1799" max="1799" width="12.7109375" customWidth="1"/>
    <col min="1800" max="1800" width="14.7109375" customWidth="1"/>
    <col min="1801" max="1804" width="12.7109375" customWidth="1"/>
    <col min="1805" max="1805" width="11.140625" bestFit="1" customWidth="1"/>
    <col min="2048" max="2050" width="12.7109375" customWidth="1"/>
    <col min="2051" max="2051" width="14.28515625" customWidth="1"/>
    <col min="2052" max="2052" width="12.7109375" customWidth="1"/>
    <col min="2053" max="2053" width="14" customWidth="1"/>
    <col min="2054" max="2054" width="3" customWidth="1"/>
    <col min="2055" max="2055" width="12.7109375" customWidth="1"/>
    <col min="2056" max="2056" width="14.7109375" customWidth="1"/>
    <col min="2057" max="2060" width="12.7109375" customWidth="1"/>
    <col min="2061" max="2061" width="11.140625" bestFit="1" customWidth="1"/>
    <col min="2304" max="2306" width="12.7109375" customWidth="1"/>
    <col min="2307" max="2307" width="14.28515625" customWidth="1"/>
    <col min="2308" max="2308" width="12.7109375" customWidth="1"/>
    <col min="2309" max="2309" width="14" customWidth="1"/>
    <col min="2310" max="2310" width="3" customWidth="1"/>
    <col min="2311" max="2311" width="12.7109375" customWidth="1"/>
    <col min="2312" max="2312" width="14.7109375" customWidth="1"/>
    <col min="2313" max="2316" width="12.7109375" customWidth="1"/>
    <col min="2317" max="2317" width="11.140625" bestFit="1" customWidth="1"/>
    <col min="2560" max="2562" width="12.7109375" customWidth="1"/>
    <col min="2563" max="2563" width="14.28515625" customWidth="1"/>
    <col min="2564" max="2564" width="12.7109375" customWidth="1"/>
    <col min="2565" max="2565" width="14" customWidth="1"/>
    <col min="2566" max="2566" width="3" customWidth="1"/>
    <col min="2567" max="2567" width="12.7109375" customWidth="1"/>
    <col min="2568" max="2568" width="14.7109375" customWidth="1"/>
    <col min="2569" max="2572" width="12.7109375" customWidth="1"/>
    <col min="2573" max="2573" width="11.140625" bestFit="1" customWidth="1"/>
    <col min="2816" max="2818" width="12.7109375" customWidth="1"/>
    <col min="2819" max="2819" width="14.28515625" customWidth="1"/>
    <col min="2820" max="2820" width="12.7109375" customWidth="1"/>
    <col min="2821" max="2821" width="14" customWidth="1"/>
    <col min="2822" max="2822" width="3" customWidth="1"/>
    <col min="2823" max="2823" width="12.7109375" customWidth="1"/>
    <col min="2824" max="2824" width="14.7109375" customWidth="1"/>
    <col min="2825" max="2828" width="12.7109375" customWidth="1"/>
    <col min="2829" max="2829" width="11.140625" bestFit="1" customWidth="1"/>
    <col min="3072" max="3074" width="12.7109375" customWidth="1"/>
    <col min="3075" max="3075" width="14.28515625" customWidth="1"/>
    <col min="3076" max="3076" width="12.7109375" customWidth="1"/>
    <col min="3077" max="3077" width="14" customWidth="1"/>
    <col min="3078" max="3078" width="3" customWidth="1"/>
    <col min="3079" max="3079" width="12.7109375" customWidth="1"/>
    <col min="3080" max="3080" width="14.7109375" customWidth="1"/>
    <col min="3081" max="3084" width="12.7109375" customWidth="1"/>
    <col min="3085" max="3085" width="11.140625" bestFit="1" customWidth="1"/>
    <col min="3328" max="3330" width="12.7109375" customWidth="1"/>
    <col min="3331" max="3331" width="14.28515625" customWidth="1"/>
    <col min="3332" max="3332" width="12.7109375" customWidth="1"/>
    <col min="3333" max="3333" width="14" customWidth="1"/>
    <col min="3334" max="3334" width="3" customWidth="1"/>
    <col min="3335" max="3335" width="12.7109375" customWidth="1"/>
    <col min="3336" max="3336" width="14.7109375" customWidth="1"/>
    <col min="3337" max="3340" width="12.7109375" customWidth="1"/>
    <col min="3341" max="3341" width="11.140625" bestFit="1" customWidth="1"/>
    <col min="3584" max="3586" width="12.7109375" customWidth="1"/>
    <col min="3587" max="3587" width="14.28515625" customWidth="1"/>
    <col min="3588" max="3588" width="12.7109375" customWidth="1"/>
    <col min="3589" max="3589" width="14" customWidth="1"/>
    <col min="3590" max="3590" width="3" customWidth="1"/>
    <col min="3591" max="3591" width="12.7109375" customWidth="1"/>
    <col min="3592" max="3592" width="14.7109375" customWidth="1"/>
    <col min="3593" max="3596" width="12.7109375" customWidth="1"/>
    <col min="3597" max="3597" width="11.140625" bestFit="1" customWidth="1"/>
    <col min="3840" max="3842" width="12.7109375" customWidth="1"/>
    <col min="3843" max="3843" width="14.28515625" customWidth="1"/>
    <col min="3844" max="3844" width="12.7109375" customWidth="1"/>
    <col min="3845" max="3845" width="14" customWidth="1"/>
    <col min="3846" max="3846" width="3" customWidth="1"/>
    <col min="3847" max="3847" width="12.7109375" customWidth="1"/>
    <col min="3848" max="3848" width="14.7109375" customWidth="1"/>
    <col min="3849" max="3852" width="12.7109375" customWidth="1"/>
    <col min="3853" max="3853" width="11.140625" bestFit="1" customWidth="1"/>
    <col min="4096" max="4098" width="12.7109375" customWidth="1"/>
    <col min="4099" max="4099" width="14.28515625" customWidth="1"/>
    <col min="4100" max="4100" width="12.7109375" customWidth="1"/>
    <col min="4101" max="4101" width="14" customWidth="1"/>
    <col min="4102" max="4102" width="3" customWidth="1"/>
    <col min="4103" max="4103" width="12.7109375" customWidth="1"/>
    <col min="4104" max="4104" width="14.7109375" customWidth="1"/>
    <col min="4105" max="4108" width="12.7109375" customWidth="1"/>
    <col min="4109" max="4109" width="11.140625" bestFit="1" customWidth="1"/>
    <col min="4352" max="4354" width="12.7109375" customWidth="1"/>
    <col min="4355" max="4355" width="14.28515625" customWidth="1"/>
    <col min="4356" max="4356" width="12.7109375" customWidth="1"/>
    <col min="4357" max="4357" width="14" customWidth="1"/>
    <col min="4358" max="4358" width="3" customWidth="1"/>
    <col min="4359" max="4359" width="12.7109375" customWidth="1"/>
    <col min="4360" max="4360" width="14.7109375" customWidth="1"/>
    <col min="4361" max="4364" width="12.7109375" customWidth="1"/>
    <col min="4365" max="4365" width="11.140625" bestFit="1" customWidth="1"/>
    <col min="4608" max="4610" width="12.7109375" customWidth="1"/>
    <col min="4611" max="4611" width="14.28515625" customWidth="1"/>
    <col min="4612" max="4612" width="12.7109375" customWidth="1"/>
    <col min="4613" max="4613" width="14" customWidth="1"/>
    <col min="4614" max="4614" width="3" customWidth="1"/>
    <col min="4615" max="4615" width="12.7109375" customWidth="1"/>
    <col min="4616" max="4616" width="14.7109375" customWidth="1"/>
    <col min="4617" max="4620" width="12.7109375" customWidth="1"/>
    <col min="4621" max="4621" width="11.140625" bestFit="1" customWidth="1"/>
    <col min="4864" max="4866" width="12.7109375" customWidth="1"/>
    <col min="4867" max="4867" width="14.28515625" customWidth="1"/>
    <col min="4868" max="4868" width="12.7109375" customWidth="1"/>
    <col min="4869" max="4869" width="14" customWidth="1"/>
    <col min="4870" max="4870" width="3" customWidth="1"/>
    <col min="4871" max="4871" width="12.7109375" customWidth="1"/>
    <col min="4872" max="4872" width="14.7109375" customWidth="1"/>
    <col min="4873" max="4876" width="12.7109375" customWidth="1"/>
    <col min="4877" max="4877" width="11.140625" bestFit="1" customWidth="1"/>
    <col min="5120" max="5122" width="12.7109375" customWidth="1"/>
    <col min="5123" max="5123" width="14.28515625" customWidth="1"/>
    <col min="5124" max="5124" width="12.7109375" customWidth="1"/>
    <col min="5125" max="5125" width="14" customWidth="1"/>
    <col min="5126" max="5126" width="3" customWidth="1"/>
    <col min="5127" max="5127" width="12.7109375" customWidth="1"/>
    <col min="5128" max="5128" width="14.7109375" customWidth="1"/>
    <col min="5129" max="5132" width="12.7109375" customWidth="1"/>
    <col min="5133" max="5133" width="11.140625" bestFit="1" customWidth="1"/>
    <col min="5376" max="5378" width="12.7109375" customWidth="1"/>
    <col min="5379" max="5379" width="14.28515625" customWidth="1"/>
    <col min="5380" max="5380" width="12.7109375" customWidth="1"/>
    <col min="5381" max="5381" width="14" customWidth="1"/>
    <col min="5382" max="5382" width="3" customWidth="1"/>
    <col min="5383" max="5383" width="12.7109375" customWidth="1"/>
    <col min="5384" max="5384" width="14.7109375" customWidth="1"/>
    <col min="5385" max="5388" width="12.7109375" customWidth="1"/>
    <col min="5389" max="5389" width="11.140625" bestFit="1" customWidth="1"/>
    <col min="5632" max="5634" width="12.7109375" customWidth="1"/>
    <col min="5635" max="5635" width="14.28515625" customWidth="1"/>
    <col min="5636" max="5636" width="12.7109375" customWidth="1"/>
    <col min="5637" max="5637" width="14" customWidth="1"/>
    <col min="5638" max="5638" width="3" customWidth="1"/>
    <col min="5639" max="5639" width="12.7109375" customWidth="1"/>
    <col min="5640" max="5640" width="14.7109375" customWidth="1"/>
    <col min="5641" max="5644" width="12.7109375" customWidth="1"/>
    <col min="5645" max="5645" width="11.140625" bestFit="1" customWidth="1"/>
    <col min="5888" max="5890" width="12.7109375" customWidth="1"/>
    <col min="5891" max="5891" width="14.28515625" customWidth="1"/>
    <col min="5892" max="5892" width="12.7109375" customWidth="1"/>
    <col min="5893" max="5893" width="14" customWidth="1"/>
    <col min="5894" max="5894" width="3" customWidth="1"/>
    <col min="5895" max="5895" width="12.7109375" customWidth="1"/>
    <col min="5896" max="5896" width="14.7109375" customWidth="1"/>
    <col min="5897" max="5900" width="12.7109375" customWidth="1"/>
    <col min="5901" max="5901" width="11.140625" bestFit="1" customWidth="1"/>
    <col min="6144" max="6146" width="12.7109375" customWidth="1"/>
    <col min="6147" max="6147" width="14.28515625" customWidth="1"/>
    <col min="6148" max="6148" width="12.7109375" customWidth="1"/>
    <col min="6149" max="6149" width="14" customWidth="1"/>
    <col min="6150" max="6150" width="3" customWidth="1"/>
    <col min="6151" max="6151" width="12.7109375" customWidth="1"/>
    <col min="6152" max="6152" width="14.7109375" customWidth="1"/>
    <col min="6153" max="6156" width="12.7109375" customWidth="1"/>
    <col min="6157" max="6157" width="11.140625" bestFit="1" customWidth="1"/>
    <col min="6400" max="6402" width="12.7109375" customWidth="1"/>
    <col min="6403" max="6403" width="14.28515625" customWidth="1"/>
    <col min="6404" max="6404" width="12.7109375" customWidth="1"/>
    <col min="6405" max="6405" width="14" customWidth="1"/>
    <col min="6406" max="6406" width="3" customWidth="1"/>
    <col min="6407" max="6407" width="12.7109375" customWidth="1"/>
    <col min="6408" max="6408" width="14.7109375" customWidth="1"/>
    <col min="6409" max="6412" width="12.7109375" customWidth="1"/>
    <col min="6413" max="6413" width="11.140625" bestFit="1" customWidth="1"/>
    <col min="6656" max="6658" width="12.7109375" customWidth="1"/>
    <col min="6659" max="6659" width="14.28515625" customWidth="1"/>
    <col min="6660" max="6660" width="12.7109375" customWidth="1"/>
    <col min="6661" max="6661" width="14" customWidth="1"/>
    <col min="6662" max="6662" width="3" customWidth="1"/>
    <col min="6663" max="6663" width="12.7109375" customWidth="1"/>
    <col min="6664" max="6664" width="14.7109375" customWidth="1"/>
    <col min="6665" max="6668" width="12.7109375" customWidth="1"/>
    <col min="6669" max="6669" width="11.140625" bestFit="1" customWidth="1"/>
    <col min="6912" max="6914" width="12.7109375" customWidth="1"/>
    <col min="6915" max="6915" width="14.28515625" customWidth="1"/>
    <col min="6916" max="6916" width="12.7109375" customWidth="1"/>
    <col min="6917" max="6917" width="14" customWidth="1"/>
    <col min="6918" max="6918" width="3" customWidth="1"/>
    <col min="6919" max="6919" width="12.7109375" customWidth="1"/>
    <col min="6920" max="6920" width="14.7109375" customWidth="1"/>
    <col min="6921" max="6924" width="12.7109375" customWidth="1"/>
    <col min="6925" max="6925" width="11.140625" bestFit="1" customWidth="1"/>
    <col min="7168" max="7170" width="12.7109375" customWidth="1"/>
    <col min="7171" max="7171" width="14.28515625" customWidth="1"/>
    <col min="7172" max="7172" width="12.7109375" customWidth="1"/>
    <col min="7173" max="7173" width="14" customWidth="1"/>
    <col min="7174" max="7174" width="3" customWidth="1"/>
    <col min="7175" max="7175" width="12.7109375" customWidth="1"/>
    <col min="7176" max="7176" width="14.7109375" customWidth="1"/>
    <col min="7177" max="7180" width="12.7109375" customWidth="1"/>
    <col min="7181" max="7181" width="11.140625" bestFit="1" customWidth="1"/>
    <col min="7424" max="7426" width="12.7109375" customWidth="1"/>
    <col min="7427" max="7427" width="14.28515625" customWidth="1"/>
    <col min="7428" max="7428" width="12.7109375" customWidth="1"/>
    <col min="7429" max="7429" width="14" customWidth="1"/>
    <col min="7430" max="7430" width="3" customWidth="1"/>
    <col min="7431" max="7431" width="12.7109375" customWidth="1"/>
    <col min="7432" max="7432" width="14.7109375" customWidth="1"/>
    <col min="7433" max="7436" width="12.7109375" customWidth="1"/>
    <col min="7437" max="7437" width="11.140625" bestFit="1" customWidth="1"/>
    <col min="7680" max="7682" width="12.7109375" customWidth="1"/>
    <col min="7683" max="7683" width="14.28515625" customWidth="1"/>
    <col min="7684" max="7684" width="12.7109375" customWidth="1"/>
    <col min="7685" max="7685" width="14" customWidth="1"/>
    <col min="7686" max="7686" width="3" customWidth="1"/>
    <col min="7687" max="7687" width="12.7109375" customWidth="1"/>
    <col min="7688" max="7688" width="14.7109375" customWidth="1"/>
    <col min="7689" max="7692" width="12.7109375" customWidth="1"/>
    <col min="7693" max="7693" width="11.140625" bestFit="1" customWidth="1"/>
    <col min="7936" max="7938" width="12.7109375" customWidth="1"/>
    <col min="7939" max="7939" width="14.28515625" customWidth="1"/>
    <col min="7940" max="7940" width="12.7109375" customWidth="1"/>
    <col min="7941" max="7941" width="14" customWidth="1"/>
    <col min="7942" max="7942" width="3" customWidth="1"/>
    <col min="7943" max="7943" width="12.7109375" customWidth="1"/>
    <col min="7944" max="7944" width="14.7109375" customWidth="1"/>
    <col min="7945" max="7948" width="12.7109375" customWidth="1"/>
    <col min="7949" max="7949" width="11.140625" bestFit="1" customWidth="1"/>
    <col min="8192" max="8194" width="12.7109375" customWidth="1"/>
    <col min="8195" max="8195" width="14.28515625" customWidth="1"/>
    <col min="8196" max="8196" width="12.7109375" customWidth="1"/>
    <col min="8197" max="8197" width="14" customWidth="1"/>
    <col min="8198" max="8198" width="3" customWidth="1"/>
    <col min="8199" max="8199" width="12.7109375" customWidth="1"/>
    <col min="8200" max="8200" width="14.7109375" customWidth="1"/>
    <col min="8201" max="8204" width="12.7109375" customWidth="1"/>
    <col min="8205" max="8205" width="11.140625" bestFit="1" customWidth="1"/>
    <col min="8448" max="8450" width="12.7109375" customWidth="1"/>
    <col min="8451" max="8451" width="14.28515625" customWidth="1"/>
    <col min="8452" max="8452" width="12.7109375" customWidth="1"/>
    <col min="8453" max="8453" width="14" customWidth="1"/>
    <col min="8454" max="8454" width="3" customWidth="1"/>
    <col min="8455" max="8455" width="12.7109375" customWidth="1"/>
    <col min="8456" max="8456" width="14.7109375" customWidth="1"/>
    <col min="8457" max="8460" width="12.7109375" customWidth="1"/>
    <col min="8461" max="8461" width="11.140625" bestFit="1" customWidth="1"/>
    <col min="8704" max="8706" width="12.7109375" customWidth="1"/>
    <col min="8707" max="8707" width="14.28515625" customWidth="1"/>
    <col min="8708" max="8708" width="12.7109375" customWidth="1"/>
    <col min="8709" max="8709" width="14" customWidth="1"/>
    <col min="8710" max="8710" width="3" customWidth="1"/>
    <col min="8711" max="8711" width="12.7109375" customWidth="1"/>
    <col min="8712" max="8712" width="14.7109375" customWidth="1"/>
    <col min="8713" max="8716" width="12.7109375" customWidth="1"/>
    <col min="8717" max="8717" width="11.140625" bestFit="1" customWidth="1"/>
    <col min="8960" max="8962" width="12.7109375" customWidth="1"/>
    <col min="8963" max="8963" width="14.28515625" customWidth="1"/>
    <col min="8964" max="8964" width="12.7109375" customWidth="1"/>
    <col min="8965" max="8965" width="14" customWidth="1"/>
    <col min="8966" max="8966" width="3" customWidth="1"/>
    <col min="8967" max="8967" width="12.7109375" customWidth="1"/>
    <col min="8968" max="8968" width="14.7109375" customWidth="1"/>
    <col min="8969" max="8972" width="12.7109375" customWidth="1"/>
    <col min="8973" max="8973" width="11.140625" bestFit="1" customWidth="1"/>
    <col min="9216" max="9218" width="12.7109375" customWidth="1"/>
    <col min="9219" max="9219" width="14.28515625" customWidth="1"/>
    <col min="9220" max="9220" width="12.7109375" customWidth="1"/>
    <col min="9221" max="9221" width="14" customWidth="1"/>
    <col min="9222" max="9222" width="3" customWidth="1"/>
    <col min="9223" max="9223" width="12.7109375" customWidth="1"/>
    <col min="9224" max="9224" width="14.7109375" customWidth="1"/>
    <col min="9225" max="9228" width="12.7109375" customWidth="1"/>
    <col min="9229" max="9229" width="11.140625" bestFit="1" customWidth="1"/>
    <col min="9472" max="9474" width="12.7109375" customWidth="1"/>
    <col min="9475" max="9475" width="14.28515625" customWidth="1"/>
    <col min="9476" max="9476" width="12.7109375" customWidth="1"/>
    <col min="9477" max="9477" width="14" customWidth="1"/>
    <col min="9478" max="9478" width="3" customWidth="1"/>
    <col min="9479" max="9479" width="12.7109375" customWidth="1"/>
    <col min="9480" max="9480" width="14.7109375" customWidth="1"/>
    <col min="9481" max="9484" width="12.7109375" customWidth="1"/>
    <col min="9485" max="9485" width="11.140625" bestFit="1" customWidth="1"/>
    <col min="9728" max="9730" width="12.7109375" customWidth="1"/>
    <col min="9731" max="9731" width="14.28515625" customWidth="1"/>
    <col min="9732" max="9732" width="12.7109375" customWidth="1"/>
    <col min="9733" max="9733" width="14" customWidth="1"/>
    <col min="9734" max="9734" width="3" customWidth="1"/>
    <col min="9735" max="9735" width="12.7109375" customWidth="1"/>
    <col min="9736" max="9736" width="14.7109375" customWidth="1"/>
    <col min="9737" max="9740" width="12.7109375" customWidth="1"/>
    <col min="9741" max="9741" width="11.140625" bestFit="1" customWidth="1"/>
    <col min="9984" max="9986" width="12.7109375" customWidth="1"/>
    <col min="9987" max="9987" width="14.28515625" customWidth="1"/>
    <col min="9988" max="9988" width="12.7109375" customWidth="1"/>
    <col min="9989" max="9989" width="14" customWidth="1"/>
    <col min="9990" max="9990" width="3" customWidth="1"/>
    <col min="9991" max="9991" width="12.7109375" customWidth="1"/>
    <col min="9992" max="9992" width="14.7109375" customWidth="1"/>
    <col min="9993" max="9996" width="12.7109375" customWidth="1"/>
    <col min="9997" max="9997" width="11.140625" bestFit="1" customWidth="1"/>
    <col min="10240" max="10242" width="12.7109375" customWidth="1"/>
    <col min="10243" max="10243" width="14.28515625" customWidth="1"/>
    <col min="10244" max="10244" width="12.7109375" customWidth="1"/>
    <col min="10245" max="10245" width="14" customWidth="1"/>
    <col min="10246" max="10246" width="3" customWidth="1"/>
    <col min="10247" max="10247" width="12.7109375" customWidth="1"/>
    <col min="10248" max="10248" width="14.7109375" customWidth="1"/>
    <col min="10249" max="10252" width="12.7109375" customWidth="1"/>
    <col min="10253" max="10253" width="11.140625" bestFit="1" customWidth="1"/>
    <col min="10496" max="10498" width="12.7109375" customWidth="1"/>
    <col min="10499" max="10499" width="14.28515625" customWidth="1"/>
    <col min="10500" max="10500" width="12.7109375" customWidth="1"/>
    <col min="10501" max="10501" width="14" customWidth="1"/>
    <col min="10502" max="10502" width="3" customWidth="1"/>
    <col min="10503" max="10503" width="12.7109375" customWidth="1"/>
    <col min="10504" max="10504" width="14.7109375" customWidth="1"/>
    <col min="10505" max="10508" width="12.7109375" customWidth="1"/>
    <col min="10509" max="10509" width="11.140625" bestFit="1" customWidth="1"/>
    <col min="10752" max="10754" width="12.7109375" customWidth="1"/>
    <col min="10755" max="10755" width="14.28515625" customWidth="1"/>
    <col min="10756" max="10756" width="12.7109375" customWidth="1"/>
    <col min="10757" max="10757" width="14" customWidth="1"/>
    <col min="10758" max="10758" width="3" customWidth="1"/>
    <col min="10759" max="10759" width="12.7109375" customWidth="1"/>
    <col min="10760" max="10760" width="14.7109375" customWidth="1"/>
    <col min="10761" max="10764" width="12.7109375" customWidth="1"/>
    <col min="10765" max="10765" width="11.140625" bestFit="1" customWidth="1"/>
    <col min="11008" max="11010" width="12.7109375" customWidth="1"/>
    <col min="11011" max="11011" width="14.28515625" customWidth="1"/>
    <col min="11012" max="11012" width="12.7109375" customWidth="1"/>
    <col min="11013" max="11013" width="14" customWidth="1"/>
    <col min="11014" max="11014" width="3" customWidth="1"/>
    <col min="11015" max="11015" width="12.7109375" customWidth="1"/>
    <col min="11016" max="11016" width="14.7109375" customWidth="1"/>
    <col min="11017" max="11020" width="12.7109375" customWidth="1"/>
    <col min="11021" max="11021" width="11.140625" bestFit="1" customWidth="1"/>
    <col min="11264" max="11266" width="12.7109375" customWidth="1"/>
    <col min="11267" max="11267" width="14.28515625" customWidth="1"/>
    <col min="11268" max="11268" width="12.7109375" customWidth="1"/>
    <col min="11269" max="11269" width="14" customWidth="1"/>
    <col min="11270" max="11270" width="3" customWidth="1"/>
    <col min="11271" max="11271" width="12.7109375" customWidth="1"/>
    <col min="11272" max="11272" width="14.7109375" customWidth="1"/>
    <col min="11273" max="11276" width="12.7109375" customWidth="1"/>
    <col min="11277" max="11277" width="11.140625" bestFit="1" customWidth="1"/>
    <col min="11520" max="11522" width="12.7109375" customWidth="1"/>
    <col min="11523" max="11523" width="14.28515625" customWidth="1"/>
    <col min="11524" max="11524" width="12.7109375" customWidth="1"/>
    <col min="11525" max="11525" width="14" customWidth="1"/>
    <col min="11526" max="11526" width="3" customWidth="1"/>
    <col min="11527" max="11527" width="12.7109375" customWidth="1"/>
    <col min="11528" max="11528" width="14.7109375" customWidth="1"/>
    <col min="11529" max="11532" width="12.7109375" customWidth="1"/>
    <col min="11533" max="11533" width="11.140625" bestFit="1" customWidth="1"/>
    <col min="11776" max="11778" width="12.7109375" customWidth="1"/>
    <col min="11779" max="11779" width="14.28515625" customWidth="1"/>
    <col min="11780" max="11780" width="12.7109375" customWidth="1"/>
    <col min="11781" max="11781" width="14" customWidth="1"/>
    <col min="11782" max="11782" width="3" customWidth="1"/>
    <col min="11783" max="11783" width="12.7109375" customWidth="1"/>
    <col min="11784" max="11784" width="14.7109375" customWidth="1"/>
    <col min="11785" max="11788" width="12.7109375" customWidth="1"/>
    <col min="11789" max="11789" width="11.140625" bestFit="1" customWidth="1"/>
    <col min="12032" max="12034" width="12.7109375" customWidth="1"/>
    <col min="12035" max="12035" width="14.28515625" customWidth="1"/>
    <col min="12036" max="12036" width="12.7109375" customWidth="1"/>
    <col min="12037" max="12037" width="14" customWidth="1"/>
    <col min="12038" max="12038" width="3" customWidth="1"/>
    <col min="12039" max="12039" width="12.7109375" customWidth="1"/>
    <col min="12040" max="12040" width="14.7109375" customWidth="1"/>
    <col min="12041" max="12044" width="12.7109375" customWidth="1"/>
    <col min="12045" max="12045" width="11.140625" bestFit="1" customWidth="1"/>
    <col min="12288" max="12290" width="12.7109375" customWidth="1"/>
    <col min="12291" max="12291" width="14.28515625" customWidth="1"/>
    <col min="12292" max="12292" width="12.7109375" customWidth="1"/>
    <col min="12293" max="12293" width="14" customWidth="1"/>
    <col min="12294" max="12294" width="3" customWidth="1"/>
    <col min="12295" max="12295" width="12.7109375" customWidth="1"/>
    <col min="12296" max="12296" width="14.7109375" customWidth="1"/>
    <col min="12297" max="12300" width="12.7109375" customWidth="1"/>
    <col min="12301" max="12301" width="11.140625" bestFit="1" customWidth="1"/>
    <col min="12544" max="12546" width="12.7109375" customWidth="1"/>
    <col min="12547" max="12547" width="14.28515625" customWidth="1"/>
    <col min="12548" max="12548" width="12.7109375" customWidth="1"/>
    <col min="12549" max="12549" width="14" customWidth="1"/>
    <col min="12550" max="12550" width="3" customWidth="1"/>
    <col min="12551" max="12551" width="12.7109375" customWidth="1"/>
    <col min="12552" max="12552" width="14.7109375" customWidth="1"/>
    <col min="12553" max="12556" width="12.7109375" customWidth="1"/>
    <col min="12557" max="12557" width="11.140625" bestFit="1" customWidth="1"/>
    <col min="12800" max="12802" width="12.7109375" customWidth="1"/>
    <col min="12803" max="12803" width="14.28515625" customWidth="1"/>
    <col min="12804" max="12804" width="12.7109375" customWidth="1"/>
    <col min="12805" max="12805" width="14" customWidth="1"/>
    <col min="12806" max="12806" width="3" customWidth="1"/>
    <col min="12807" max="12807" width="12.7109375" customWidth="1"/>
    <col min="12808" max="12808" width="14.7109375" customWidth="1"/>
    <col min="12809" max="12812" width="12.7109375" customWidth="1"/>
    <col min="12813" max="12813" width="11.140625" bestFit="1" customWidth="1"/>
    <col min="13056" max="13058" width="12.7109375" customWidth="1"/>
    <col min="13059" max="13059" width="14.28515625" customWidth="1"/>
    <col min="13060" max="13060" width="12.7109375" customWidth="1"/>
    <col min="13061" max="13061" width="14" customWidth="1"/>
    <col min="13062" max="13062" width="3" customWidth="1"/>
    <col min="13063" max="13063" width="12.7109375" customWidth="1"/>
    <col min="13064" max="13064" width="14.7109375" customWidth="1"/>
    <col min="13065" max="13068" width="12.7109375" customWidth="1"/>
    <col min="13069" max="13069" width="11.140625" bestFit="1" customWidth="1"/>
    <col min="13312" max="13314" width="12.7109375" customWidth="1"/>
    <col min="13315" max="13315" width="14.28515625" customWidth="1"/>
    <col min="13316" max="13316" width="12.7109375" customWidth="1"/>
    <col min="13317" max="13317" width="14" customWidth="1"/>
    <col min="13318" max="13318" width="3" customWidth="1"/>
    <col min="13319" max="13319" width="12.7109375" customWidth="1"/>
    <col min="13320" max="13320" width="14.7109375" customWidth="1"/>
    <col min="13321" max="13324" width="12.7109375" customWidth="1"/>
    <col min="13325" max="13325" width="11.140625" bestFit="1" customWidth="1"/>
    <col min="13568" max="13570" width="12.7109375" customWidth="1"/>
    <col min="13571" max="13571" width="14.28515625" customWidth="1"/>
    <col min="13572" max="13572" width="12.7109375" customWidth="1"/>
    <col min="13573" max="13573" width="14" customWidth="1"/>
    <col min="13574" max="13574" width="3" customWidth="1"/>
    <col min="13575" max="13575" width="12.7109375" customWidth="1"/>
    <col min="13576" max="13576" width="14.7109375" customWidth="1"/>
    <col min="13577" max="13580" width="12.7109375" customWidth="1"/>
    <col min="13581" max="13581" width="11.140625" bestFit="1" customWidth="1"/>
    <col min="13824" max="13826" width="12.7109375" customWidth="1"/>
    <col min="13827" max="13827" width="14.28515625" customWidth="1"/>
    <col min="13828" max="13828" width="12.7109375" customWidth="1"/>
    <col min="13829" max="13829" width="14" customWidth="1"/>
    <col min="13830" max="13830" width="3" customWidth="1"/>
    <col min="13831" max="13831" width="12.7109375" customWidth="1"/>
    <col min="13832" max="13832" width="14.7109375" customWidth="1"/>
    <col min="13833" max="13836" width="12.7109375" customWidth="1"/>
    <col min="13837" max="13837" width="11.140625" bestFit="1" customWidth="1"/>
    <col min="14080" max="14082" width="12.7109375" customWidth="1"/>
    <col min="14083" max="14083" width="14.28515625" customWidth="1"/>
    <col min="14084" max="14084" width="12.7109375" customWidth="1"/>
    <col min="14085" max="14085" width="14" customWidth="1"/>
    <col min="14086" max="14086" width="3" customWidth="1"/>
    <col min="14087" max="14087" width="12.7109375" customWidth="1"/>
    <col min="14088" max="14088" width="14.7109375" customWidth="1"/>
    <col min="14089" max="14092" width="12.7109375" customWidth="1"/>
    <col min="14093" max="14093" width="11.140625" bestFit="1" customWidth="1"/>
    <col min="14336" max="14338" width="12.7109375" customWidth="1"/>
    <col min="14339" max="14339" width="14.28515625" customWidth="1"/>
    <col min="14340" max="14340" width="12.7109375" customWidth="1"/>
    <col min="14341" max="14341" width="14" customWidth="1"/>
    <col min="14342" max="14342" width="3" customWidth="1"/>
    <col min="14343" max="14343" width="12.7109375" customWidth="1"/>
    <col min="14344" max="14344" width="14.7109375" customWidth="1"/>
    <col min="14345" max="14348" width="12.7109375" customWidth="1"/>
    <col min="14349" max="14349" width="11.140625" bestFit="1" customWidth="1"/>
    <col min="14592" max="14594" width="12.7109375" customWidth="1"/>
    <col min="14595" max="14595" width="14.28515625" customWidth="1"/>
    <col min="14596" max="14596" width="12.7109375" customWidth="1"/>
    <col min="14597" max="14597" width="14" customWidth="1"/>
    <col min="14598" max="14598" width="3" customWidth="1"/>
    <col min="14599" max="14599" width="12.7109375" customWidth="1"/>
    <col min="14600" max="14600" width="14.7109375" customWidth="1"/>
    <col min="14601" max="14604" width="12.7109375" customWidth="1"/>
    <col min="14605" max="14605" width="11.140625" bestFit="1" customWidth="1"/>
    <col min="14848" max="14850" width="12.7109375" customWidth="1"/>
    <col min="14851" max="14851" width="14.28515625" customWidth="1"/>
    <col min="14852" max="14852" width="12.7109375" customWidth="1"/>
    <col min="14853" max="14853" width="14" customWidth="1"/>
    <col min="14854" max="14854" width="3" customWidth="1"/>
    <col min="14855" max="14855" width="12.7109375" customWidth="1"/>
    <col min="14856" max="14856" width="14.7109375" customWidth="1"/>
    <col min="14857" max="14860" width="12.7109375" customWidth="1"/>
    <col min="14861" max="14861" width="11.140625" bestFit="1" customWidth="1"/>
    <col min="15104" max="15106" width="12.7109375" customWidth="1"/>
    <col min="15107" max="15107" width="14.28515625" customWidth="1"/>
    <col min="15108" max="15108" width="12.7109375" customWidth="1"/>
    <col min="15109" max="15109" width="14" customWidth="1"/>
    <col min="15110" max="15110" width="3" customWidth="1"/>
    <col min="15111" max="15111" width="12.7109375" customWidth="1"/>
    <col min="15112" max="15112" width="14.7109375" customWidth="1"/>
    <col min="15113" max="15116" width="12.7109375" customWidth="1"/>
    <col min="15117" max="15117" width="11.140625" bestFit="1" customWidth="1"/>
    <col min="15360" max="15362" width="12.7109375" customWidth="1"/>
    <col min="15363" max="15363" width="14.28515625" customWidth="1"/>
    <col min="15364" max="15364" width="12.7109375" customWidth="1"/>
    <col min="15365" max="15365" width="14" customWidth="1"/>
    <col min="15366" max="15366" width="3" customWidth="1"/>
    <col min="15367" max="15367" width="12.7109375" customWidth="1"/>
    <col min="15368" max="15368" width="14.7109375" customWidth="1"/>
    <col min="15369" max="15372" width="12.7109375" customWidth="1"/>
    <col min="15373" max="15373" width="11.140625" bestFit="1" customWidth="1"/>
    <col min="15616" max="15618" width="12.7109375" customWidth="1"/>
    <col min="15619" max="15619" width="14.28515625" customWidth="1"/>
    <col min="15620" max="15620" width="12.7109375" customWidth="1"/>
    <col min="15621" max="15621" width="14" customWidth="1"/>
    <col min="15622" max="15622" width="3" customWidth="1"/>
    <col min="15623" max="15623" width="12.7109375" customWidth="1"/>
    <col min="15624" max="15624" width="14.7109375" customWidth="1"/>
    <col min="15625" max="15628" width="12.7109375" customWidth="1"/>
    <col min="15629" max="15629" width="11.140625" bestFit="1" customWidth="1"/>
    <col min="15872" max="15874" width="12.7109375" customWidth="1"/>
    <col min="15875" max="15875" width="14.28515625" customWidth="1"/>
    <col min="15876" max="15876" width="12.7109375" customWidth="1"/>
    <col min="15877" max="15877" width="14" customWidth="1"/>
    <col min="15878" max="15878" width="3" customWidth="1"/>
    <col min="15879" max="15879" width="12.7109375" customWidth="1"/>
    <col min="15880" max="15880" width="14.7109375" customWidth="1"/>
    <col min="15881" max="15884" width="12.7109375" customWidth="1"/>
    <col min="15885" max="15885" width="11.140625" bestFit="1" customWidth="1"/>
    <col min="16128" max="16130" width="12.7109375" customWidth="1"/>
    <col min="16131" max="16131" width="14.28515625" customWidth="1"/>
    <col min="16132" max="16132" width="12.7109375" customWidth="1"/>
    <col min="16133" max="16133" width="14" customWidth="1"/>
    <col min="16134" max="16134" width="3" customWidth="1"/>
    <col min="16135" max="16135" width="12.7109375" customWidth="1"/>
    <col min="16136" max="16136" width="14.7109375" customWidth="1"/>
    <col min="16137" max="16140" width="12.7109375" customWidth="1"/>
    <col min="16141" max="16141" width="11.140625" bestFit="1" customWidth="1"/>
  </cols>
  <sheetData>
    <row r="1" spans="1:19" ht="15.75" x14ac:dyDescent="0.25">
      <c r="A1" s="116" t="s">
        <v>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19" x14ac:dyDescent="0.25">
      <c r="A2" s="117" t="s">
        <v>1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</row>
    <row r="3" spans="1:19" ht="75" customHeight="1" x14ac:dyDescent="0.25">
      <c r="A3" s="76" t="s">
        <v>2</v>
      </c>
      <c r="B3" s="76" t="s">
        <v>3</v>
      </c>
      <c r="C3" s="76" t="s">
        <v>4</v>
      </c>
      <c r="D3" s="118" t="s">
        <v>5</v>
      </c>
      <c r="E3" s="119"/>
      <c r="F3" s="120"/>
      <c r="G3" s="73"/>
      <c r="H3" s="76" t="s">
        <v>6</v>
      </c>
      <c r="I3" s="73" t="s">
        <v>7</v>
      </c>
      <c r="J3" s="76" t="s">
        <v>8</v>
      </c>
      <c r="K3" s="76" t="s">
        <v>9</v>
      </c>
      <c r="L3" s="76" t="s">
        <v>10</v>
      </c>
      <c r="M3" s="76" t="s">
        <v>11</v>
      </c>
      <c r="N3" s="1"/>
      <c r="O3" s="1"/>
      <c r="P3" s="1"/>
      <c r="Q3" s="1"/>
      <c r="R3" s="1"/>
      <c r="S3" s="1"/>
    </row>
    <row r="4" spans="1:19" s="3" customFormat="1" x14ac:dyDescent="0.25">
      <c r="A4" s="78">
        <v>1.17021</v>
      </c>
      <c r="B4" s="75">
        <v>140</v>
      </c>
      <c r="C4" s="2" t="s">
        <v>12</v>
      </c>
      <c r="D4" s="121">
        <v>54.61</v>
      </c>
      <c r="E4" s="122"/>
      <c r="F4" s="123"/>
      <c r="H4" s="75">
        <v>2</v>
      </c>
      <c r="I4" s="75">
        <v>11</v>
      </c>
      <c r="J4" s="4">
        <f>D4*H4*I4</f>
        <v>1201.42</v>
      </c>
      <c r="K4" s="5">
        <v>105</v>
      </c>
      <c r="L4" s="4">
        <f>J4*K4</f>
        <v>126149.1</v>
      </c>
      <c r="M4" s="4">
        <f>A4*9500</f>
        <v>11116.994999999999</v>
      </c>
    </row>
    <row r="5" spans="1:19" s="3" customFormat="1" x14ac:dyDescent="0.25">
      <c r="C5" s="6"/>
      <c r="H5" s="75"/>
      <c r="I5" s="75"/>
      <c r="J5" s="4"/>
      <c r="K5" s="5"/>
      <c r="L5" s="7"/>
      <c r="M5" s="4"/>
    </row>
    <row r="6" spans="1:19" x14ac:dyDescent="0.25">
      <c r="A6" s="117" t="s">
        <v>13</v>
      </c>
      <c r="B6" s="117"/>
      <c r="C6" s="117"/>
      <c r="D6" s="117"/>
      <c r="E6" s="117"/>
      <c r="F6" s="117"/>
      <c r="G6" s="8"/>
      <c r="H6" s="124" t="s">
        <v>14</v>
      </c>
      <c r="I6" s="125"/>
      <c r="J6" s="125"/>
      <c r="K6" s="126"/>
      <c r="L6" s="9">
        <f>L4+L5</f>
        <v>126149.1</v>
      </c>
      <c r="M6" s="77" t="s">
        <v>15</v>
      </c>
    </row>
    <row r="7" spans="1:19" ht="60" x14ac:dyDescent="0.25">
      <c r="A7" s="129" t="s">
        <v>16</v>
      </c>
      <c r="B7" s="129"/>
      <c r="C7" s="129"/>
      <c r="D7" s="129"/>
      <c r="E7" s="10" t="s">
        <v>17</v>
      </c>
      <c r="F7" s="10" t="s">
        <v>18</v>
      </c>
      <c r="G7" s="11"/>
      <c r="H7" s="76" t="s">
        <v>19</v>
      </c>
      <c r="I7" s="12" t="s">
        <v>20</v>
      </c>
      <c r="J7" s="13" t="s">
        <v>21</v>
      </c>
      <c r="K7" s="13" t="s">
        <v>22</v>
      </c>
      <c r="L7" s="14" t="s">
        <v>23</v>
      </c>
      <c r="M7" s="15" t="s">
        <v>15</v>
      </c>
    </row>
    <row r="8" spans="1:19" ht="15" customHeight="1" x14ac:dyDescent="0.25">
      <c r="A8" s="130" t="s">
        <v>24</v>
      </c>
      <c r="B8" s="130"/>
      <c r="C8" s="130"/>
      <c r="D8" s="130"/>
      <c r="E8" s="131">
        <v>0.26</v>
      </c>
      <c r="F8" s="132">
        <f>L6*26/100</f>
        <v>32798.766000000003</v>
      </c>
      <c r="G8" s="16"/>
      <c r="H8" s="17">
        <v>11</v>
      </c>
      <c r="I8" s="18">
        <v>0</v>
      </c>
      <c r="J8" s="75">
        <v>2</v>
      </c>
      <c r="K8" s="75">
        <f>I4</f>
        <v>11</v>
      </c>
      <c r="L8" s="75">
        <f>(H8*J8*K8)</f>
        <v>242</v>
      </c>
      <c r="M8" s="112">
        <f>L8+L9+I8</f>
        <v>242</v>
      </c>
    </row>
    <row r="9" spans="1:19" x14ac:dyDescent="0.25">
      <c r="A9" s="130"/>
      <c r="B9" s="130"/>
      <c r="C9" s="130"/>
      <c r="D9" s="130"/>
      <c r="E9" s="131"/>
      <c r="F9" s="132"/>
      <c r="G9" s="16"/>
      <c r="H9" s="75"/>
      <c r="I9" s="75"/>
      <c r="J9" s="75"/>
      <c r="K9" s="75"/>
      <c r="L9" s="75"/>
      <c r="M9" s="112"/>
    </row>
    <row r="10" spans="1:19" x14ac:dyDescent="0.25">
      <c r="A10" s="113" t="s">
        <v>25</v>
      </c>
      <c r="B10" s="114"/>
      <c r="C10" s="114"/>
      <c r="D10" s="115"/>
      <c r="E10" s="71">
        <v>0.01</v>
      </c>
      <c r="F10" s="72">
        <f>L6*1/100</f>
        <v>1261.491</v>
      </c>
      <c r="G10" s="16"/>
      <c r="H10" s="13"/>
      <c r="I10" s="13"/>
      <c r="J10" s="19"/>
      <c r="K10" s="19"/>
    </row>
    <row r="11" spans="1:19" x14ac:dyDescent="0.25">
      <c r="A11" s="113" t="s">
        <v>26</v>
      </c>
      <c r="B11" s="114"/>
      <c r="C11" s="114"/>
      <c r="D11" s="115"/>
      <c r="E11" s="71">
        <v>7.0000000000000007E-2</v>
      </c>
      <c r="F11" s="72">
        <f>L6*7/100</f>
        <v>8830.4369999999999</v>
      </c>
      <c r="G11" s="16"/>
      <c r="H11" s="13"/>
      <c r="I11" s="13"/>
      <c r="J11" s="19"/>
      <c r="K11" s="19"/>
    </row>
    <row r="12" spans="1:19" ht="15" customHeight="1" x14ac:dyDescent="0.25">
      <c r="A12" s="133" t="s">
        <v>27</v>
      </c>
      <c r="B12" s="134"/>
      <c r="C12" s="134"/>
      <c r="D12" s="135"/>
      <c r="E12" s="139">
        <v>0.05</v>
      </c>
      <c r="F12" s="141">
        <f>L6*5/100</f>
        <v>6307.4549999999999</v>
      </c>
      <c r="G12" s="3"/>
      <c r="H12" s="130" t="s">
        <v>28</v>
      </c>
      <c r="I12" s="130"/>
      <c r="J12" s="127">
        <f>L6*0.55/M8</f>
        <v>286.70250000000004</v>
      </c>
      <c r="K12" s="127"/>
      <c r="L12" s="20"/>
      <c r="M12" s="20"/>
    </row>
    <row r="13" spans="1:19" x14ac:dyDescent="0.25">
      <c r="A13" s="136"/>
      <c r="B13" s="137"/>
      <c r="C13" s="137"/>
      <c r="D13" s="138"/>
      <c r="E13" s="140"/>
      <c r="F13" s="142"/>
      <c r="G13" s="3"/>
      <c r="H13" s="128"/>
      <c r="I13" s="128"/>
      <c r="J13" s="128"/>
      <c r="K13" s="128"/>
      <c r="L13" s="128"/>
    </row>
    <row r="14" spans="1:19" ht="15" customHeight="1" x14ac:dyDescent="0.25">
      <c r="A14" s="133" t="s">
        <v>29</v>
      </c>
      <c r="B14" s="134"/>
      <c r="C14" s="134"/>
      <c r="D14" s="135"/>
      <c r="E14" s="139">
        <v>0.55000000000000004</v>
      </c>
      <c r="F14" s="141">
        <f>L6*55/100</f>
        <v>69382.005000000005</v>
      </c>
      <c r="G14" s="3"/>
      <c r="H14" s="144" t="s">
        <v>30</v>
      </c>
      <c r="I14" s="144"/>
      <c r="J14" s="144"/>
      <c r="K14" s="144"/>
      <c r="L14" s="144"/>
      <c r="M14" s="144"/>
    </row>
    <row r="15" spans="1:19" x14ac:dyDescent="0.25">
      <c r="A15" s="136"/>
      <c r="B15" s="137"/>
      <c r="C15" s="137"/>
      <c r="D15" s="138"/>
      <c r="E15" s="140"/>
      <c r="F15" s="142"/>
      <c r="G15" s="3"/>
      <c r="H15" s="144"/>
      <c r="I15" s="144"/>
      <c r="J15" s="144"/>
      <c r="K15" s="144"/>
      <c r="L15" s="144"/>
      <c r="M15" s="144"/>
    </row>
    <row r="16" spans="1:19" x14ac:dyDescent="0.25">
      <c r="A16" s="133" t="s">
        <v>31</v>
      </c>
      <c r="B16" s="134"/>
      <c r="C16" s="134"/>
      <c r="D16" s="135"/>
      <c r="E16" s="139">
        <v>0.02</v>
      </c>
      <c r="F16" s="141">
        <f>L6*2/100</f>
        <v>2522.982</v>
      </c>
      <c r="G16" s="3"/>
      <c r="H16" s="144"/>
      <c r="I16" s="144"/>
      <c r="J16" s="144"/>
      <c r="K16" s="144"/>
      <c r="L16" s="144"/>
      <c r="M16" s="144"/>
    </row>
    <row r="17" spans="1:13" ht="15" customHeight="1" x14ac:dyDescent="0.25">
      <c r="A17" s="136"/>
      <c r="B17" s="137"/>
      <c r="C17" s="137"/>
      <c r="D17" s="138"/>
      <c r="E17" s="140"/>
      <c r="F17" s="142"/>
      <c r="G17" s="3"/>
      <c r="H17" s="77"/>
      <c r="I17" s="145" t="s">
        <v>32</v>
      </c>
      <c r="J17" s="145" t="s">
        <v>33</v>
      </c>
      <c r="K17" s="145" t="s">
        <v>34</v>
      </c>
      <c r="L17" s="147" t="s">
        <v>35</v>
      </c>
      <c r="M17" s="144" t="s">
        <v>36</v>
      </c>
    </row>
    <row r="18" spans="1:13" x14ac:dyDescent="0.25">
      <c r="A18" s="133" t="s">
        <v>37</v>
      </c>
      <c r="B18" s="134"/>
      <c r="C18" s="134"/>
      <c r="D18" s="135"/>
      <c r="E18" s="139">
        <v>0.04</v>
      </c>
      <c r="F18" s="141">
        <f>L6*4/100</f>
        <v>5045.9639999999999</v>
      </c>
      <c r="G18" s="3"/>
      <c r="H18" s="77"/>
      <c r="I18" s="146"/>
      <c r="J18" s="146"/>
      <c r="K18" s="146"/>
      <c r="L18" s="148"/>
      <c r="M18" s="144"/>
    </row>
    <row r="19" spans="1:13" x14ac:dyDescent="0.25">
      <c r="A19" s="136"/>
      <c r="B19" s="137"/>
      <c r="C19" s="137"/>
      <c r="D19" s="138"/>
      <c r="E19" s="140"/>
      <c r="F19" s="142"/>
      <c r="G19" s="3"/>
      <c r="H19" s="74" t="s">
        <v>38</v>
      </c>
      <c r="I19" s="75">
        <v>2.75</v>
      </c>
      <c r="J19" s="75">
        <v>2.5</v>
      </c>
      <c r="K19" s="75">
        <v>4</v>
      </c>
      <c r="L19" s="75">
        <v>4</v>
      </c>
      <c r="M19" s="75">
        <v>2</v>
      </c>
    </row>
    <row r="20" spans="1:13" ht="39" x14ac:dyDescent="0.25">
      <c r="A20" s="143" t="s">
        <v>39</v>
      </c>
      <c r="B20" s="143"/>
      <c r="C20" s="143"/>
      <c r="D20" s="143"/>
      <c r="E20" s="21">
        <f>SUM(E8:E19)</f>
        <v>1</v>
      </c>
      <c r="F20" s="22">
        <f>SUM(F8:F19)</f>
        <v>126149.1</v>
      </c>
      <c r="H20" s="13" t="s">
        <v>40</v>
      </c>
      <c r="I20" s="23">
        <f>M4*2.75</f>
        <v>30571.736249999998</v>
      </c>
      <c r="J20" s="23">
        <f>M4*2.5</f>
        <v>27792.487499999996</v>
      </c>
      <c r="K20" s="23">
        <f>M4*3</f>
        <v>33350.985000000001</v>
      </c>
      <c r="L20" s="23">
        <f>M4*4</f>
        <v>44467.979999999996</v>
      </c>
      <c r="M20" s="23">
        <f>M4*2</f>
        <v>22233.989999999998</v>
      </c>
    </row>
  </sheetData>
  <mergeCells count="35">
    <mergeCell ref="A20:D20"/>
    <mergeCell ref="A14:D15"/>
    <mergeCell ref="E14:E15"/>
    <mergeCell ref="F14:F15"/>
    <mergeCell ref="H14:M16"/>
    <mergeCell ref="A16:D17"/>
    <mergeCell ref="E16:E17"/>
    <mergeCell ref="F16:F17"/>
    <mergeCell ref="I17:I18"/>
    <mergeCell ref="J17:J18"/>
    <mergeCell ref="K17:K18"/>
    <mergeCell ref="L17:L18"/>
    <mergeCell ref="M17:M18"/>
    <mergeCell ref="A18:D19"/>
    <mergeCell ref="E18:E19"/>
    <mergeCell ref="F18:F19"/>
    <mergeCell ref="J12:K12"/>
    <mergeCell ref="H13:L13"/>
    <mergeCell ref="A7:D7"/>
    <mergeCell ref="A8:D9"/>
    <mergeCell ref="E8:E9"/>
    <mergeCell ref="F8:F9"/>
    <mergeCell ref="A11:D11"/>
    <mergeCell ref="A12:D13"/>
    <mergeCell ref="E12:E13"/>
    <mergeCell ref="F12:F13"/>
    <mergeCell ref="H12:I12"/>
    <mergeCell ref="M8:M9"/>
    <mergeCell ref="A10:D10"/>
    <mergeCell ref="A1:M1"/>
    <mergeCell ref="A2:M2"/>
    <mergeCell ref="D3:F3"/>
    <mergeCell ref="D4:F4"/>
    <mergeCell ref="A6:F6"/>
    <mergeCell ref="H6:K6"/>
  </mergeCells>
  <pageMargins left="0.7" right="0.7" top="0.75" bottom="0.75" header="0.3" footer="0.3"/>
  <pageSetup paperSize="9" orientation="landscape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CA23E-6F42-4237-B6C0-C83721F144F8}">
  <sheetPr>
    <pageSetUpPr fitToPage="1"/>
  </sheetPr>
  <dimension ref="A1:AA34"/>
  <sheetViews>
    <sheetView view="pageBreakPreview" zoomScale="60" zoomScaleNormal="69" workbookViewId="0">
      <selection activeCell="G26" sqref="G26"/>
    </sheetView>
  </sheetViews>
  <sheetFormatPr defaultColWidth="3.140625" defaultRowHeight="15" x14ac:dyDescent="0.25"/>
  <cols>
    <col min="1" max="1" width="4.42578125" customWidth="1"/>
    <col min="2" max="2" width="7.42578125" customWidth="1"/>
    <col min="3" max="3" width="6.7109375" customWidth="1"/>
    <col min="4" max="4" width="26.42578125" customWidth="1"/>
    <col min="5" max="5" width="17.5703125" customWidth="1"/>
    <col min="6" max="6" width="13" style="70" bestFit="1" customWidth="1"/>
    <col min="7" max="7" width="11.28515625" customWidth="1"/>
    <col min="8" max="8" width="14.28515625" customWidth="1"/>
    <col min="9" max="9" width="14.85546875" customWidth="1"/>
    <col min="10" max="10" width="8.5703125" hidden="1" customWidth="1"/>
    <col min="11" max="11" width="11" hidden="1" customWidth="1"/>
    <col min="12" max="12" width="13.140625" customWidth="1"/>
    <col min="13" max="13" width="14.7109375" bestFit="1" customWidth="1"/>
    <col min="14" max="14" width="13.7109375" customWidth="1"/>
    <col min="15" max="15" width="16.28515625" bestFit="1" customWidth="1"/>
    <col min="16" max="16" width="14.85546875" customWidth="1"/>
    <col min="17" max="17" width="12.140625" customWidth="1"/>
    <col min="18" max="18" width="13.85546875" customWidth="1"/>
    <col min="19" max="19" width="14" customWidth="1"/>
    <col min="20" max="20" width="11.85546875" customWidth="1"/>
    <col min="21" max="21" width="10.7109375" customWidth="1"/>
    <col min="22" max="22" width="15.85546875" customWidth="1"/>
    <col min="23" max="23" width="14.7109375" customWidth="1"/>
    <col min="24" max="24" width="14.85546875" customWidth="1"/>
    <col min="25" max="25" width="22.42578125" customWidth="1"/>
    <col min="26" max="26" width="2.85546875" customWidth="1"/>
    <col min="27" max="27" width="12.140625" bestFit="1" customWidth="1"/>
    <col min="28" max="239" width="9.140625" customWidth="1"/>
    <col min="240" max="240" width="4.42578125" customWidth="1"/>
    <col min="241" max="241" width="21.5703125" customWidth="1"/>
    <col min="242" max="242" width="17.28515625" customWidth="1"/>
    <col min="243" max="243" width="16.42578125" customWidth="1"/>
    <col min="244" max="244" width="9.85546875" customWidth="1"/>
    <col min="245" max="245" width="9.140625" customWidth="1"/>
    <col min="246" max="246" width="14.28515625" customWidth="1"/>
    <col min="247" max="247" width="8.42578125" customWidth="1"/>
    <col min="248" max="248" width="6.7109375" customWidth="1"/>
    <col min="249" max="249" width="7.42578125" customWidth="1"/>
    <col min="257" max="257" width="4.42578125" customWidth="1"/>
    <col min="258" max="258" width="7.42578125" customWidth="1"/>
    <col min="259" max="259" width="6.7109375" customWidth="1"/>
    <col min="260" max="260" width="26.42578125" customWidth="1"/>
    <col min="261" max="261" width="17.5703125" customWidth="1"/>
    <col min="262" max="262" width="13" bestFit="1" customWidth="1"/>
    <col min="263" max="263" width="11.28515625" customWidth="1"/>
    <col min="264" max="264" width="14.28515625" customWidth="1"/>
    <col min="265" max="265" width="12.7109375" customWidth="1"/>
    <col min="266" max="267" width="0" hidden="1" customWidth="1"/>
    <col min="268" max="268" width="8.5703125" customWidth="1"/>
    <col min="269" max="269" width="14.7109375" bestFit="1" customWidth="1"/>
    <col min="270" max="270" width="13.7109375" customWidth="1"/>
    <col min="271" max="271" width="16.28515625" bestFit="1" customWidth="1"/>
    <col min="272" max="272" width="14.85546875" customWidth="1"/>
    <col min="273" max="273" width="12.140625" customWidth="1"/>
    <col min="274" max="275" width="11.42578125" bestFit="1" customWidth="1"/>
    <col min="276" max="277" width="9.7109375" customWidth="1"/>
    <col min="278" max="278" width="15.85546875" customWidth="1"/>
    <col min="279" max="279" width="14.7109375" customWidth="1"/>
    <col min="280" max="280" width="14.85546875" customWidth="1"/>
    <col min="281" max="281" width="22.42578125" customWidth="1"/>
    <col min="282" max="282" width="2.85546875" customWidth="1"/>
    <col min="283" max="283" width="12.140625" bestFit="1" customWidth="1"/>
    <col min="284" max="495" width="9.140625" customWidth="1"/>
    <col min="496" max="496" width="4.42578125" customWidth="1"/>
    <col min="497" max="497" width="21.5703125" customWidth="1"/>
    <col min="498" max="498" width="17.28515625" customWidth="1"/>
    <col min="499" max="499" width="16.42578125" customWidth="1"/>
    <col min="500" max="500" width="9.85546875" customWidth="1"/>
    <col min="501" max="501" width="9.140625" customWidth="1"/>
    <col min="502" max="502" width="14.28515625" customWidth="1"/>
    <col min="503" max="503" width="8.42578125" customWidth="1"/>
    <col min="504" max="504" width="6.7109375" customWidth="1"/>
    <col min="505" max="505" width="7.42578125" customWidth="1"/>
    <col min="513" max="513" width="4.42578125" customWidth="1"/>
    <col min="514" max="514" width="7.42578125" customWidth="1"/>
    <col min="515" max="515" width="6.7109375" customWidth="1"/>
    <col min="516" max="516" width="26.42578125" customWidth="1"/>
    <col min="517" max="517" width="17.5703125" customWidth="1"/>
    <col min="518" max="518" width="13" bestFit="1" customWidth="1"/>
    <col min="519" max="519" width="11.28515625" customWidth="1"/>
    <col min="520" max="520" width="14.28515625" customWidth="1"/>
    <col min="521" max="521" width="12.7109375" customWidth="1"/>
    <col min="522" max="523" width="0" hidden="1" customWidth="1"/>
    <col min="524" max="524" width="8.5703125" customWidth="1"/>
    <col min="525" max="525" width="14.7109375" bestFit="1" customWidth="1"/>
    <col min="526" max="526" width="13.7109375" customWidth="1"/>
    <col min="527" max="527" width="16.28515625" bestFit="1" customWidth="1"/>
    <col min="528" max="528" width="14.85546875" customWidth="1"/>
    <col min="529" max="529" width="12.140625" customWidth="1"/>
    <col min="530" max="531" width="11.42578125" bestFit="1" customWidth="1"/>
    <col min="532" max="533" width="9.7109375" customWidth="1"/>
    <col min="534" max="534" width="15.85546875" customWidth="1"/>
    <col min="535" max="535" width="14.7109375" customWidth="1"/>
    <col min="536" max="536" width="14.85546875" customWidth="1"/>
    <col min="537" max="537" width="22.42578125" customWidth="1"/>
    <col min="538" max="538" width="2.85546875" customWidth="1"/>
    <col min="539" max="539" width="12.140625" bestFit="1" customWidth="1"/>
    <col min="540" max="751" width="9.140625" customWidth="1"/>
    <col min="752" max="752" width="4.42578125" customWidth="1"/>
    <col min="753" max="753" width="21.5703125" customWidth="1"/>
    <col min="754" max="754" width="17.28515625" customWidth="1"/>
    <col min="755" max="755" width="16.42578125" customWidth="1"/>
    <col min="756" max="756" width="9.85546875" customWidth="1"/>
    <col min="757" max="757" width="9.140625" customWidth="1"/>
    <col min="758" max="758" width="14.28515625" customWidth="1"/>
    <col min="759" max="759" width="8.42578125" customWidth="1"/>
    <col min="760" max="760" width="6.7109375" customWidth="1"/>
    <col min="761" max="761" width="7.42578125" customWidth="1"/>
    <col min="769" max="769" width="4.42578125" customWidth="1"/>
    <col min="770" max="770" width="7.42578125" customWidth="1"/>
    <col min="771" max="771" width="6.7109375" customWidth="1"/>
    <col min="772" max="772" width="26.42578125" customWidth="1"/>
    <col min="773" max="773" width="17.5703125" customWidth="1"/>
    <col min="774" max="774" width="13" bestFit="1" customWidth="1"/>
    <col min="775" max="775" width="11.28515625" customWidth="1"/>
    <col min="776" max="776" width="14.28515625" customWidth="1"/>
    <col min="777" max="777" width="12.7109375" customWidth="1"/>
    <col min="778" max="779" width="0" hidden="1" customWidth="1"/>
    <col min="780" max="780" width="8.5703125" customWidth="1"/>
    <col min="781" max="781" width="14.7109375" bestFit="1" customWidth="1"/>
    <col min="782" max="782" width="13.7109375" customWidth="1"/>
    <col min="783" max="783" width="16.28515625" bestFit="1" customWidth="1"/>
    <col min="784" max="784" width="14.85546875" customWidth="1"/>
    <col min="785" max="785" width="12.140625" customWidth="1"/>
    <col min="786" max="787" width="11.42578125" bestFit="1" customWidth="1"/>
    <col min="788" max="789" width="9.7109375" customWidth="1"/>
    <col min="790" max="790" width="15.85546875" customWidth="1"/>
    <col min="791" max="791" width="14.7109375" customWidth="1"/>
    <col min="792" max="792" width="14.85546875" customWidth="1"/>
    <col min="793" max="793" width="22.42578125" customWidth="1"/>
    <col min="794" max="794" width="2.85546875" customWidth="1"/>
    <col min="795" max="795" width="12.140625" bestFit="1" customWidth="1"/>
    <col min="796" max="1007" width="9.140625" customWidth="1"/>
    <col min="1008" max="1008" width="4.42578125" customWidth="1"/>
    <col min="1009" max="1009" width="21.5703125" customWidth="1"/>
    <col min="1010" max="1010" width="17.28515625" customWidth="1"/>
    <col min="1011" max="1011" width="16.42578125" customWidth="1"/>
    <col min="1012" max="1012" width="9.85546875" customWidth="1"/>
    <col min="1013" max="1013" width="9.140625" customWidth="1"/>
    <col min="1014" max="1014" width="14.28515625" customWidth="1"/>
    <col min="1015" max="1015" width="8.42578125" customWidth="1"/>
    <col min="1016" max="1016" width="6.7109375" customWidth="1"/>
    <col min="1017" max="1017" width="7.42578125" customWidth="1"/>
    <col min="1025" max="1025" width="4.42578125" customWidth="1"/>
    <col min="1026" max="1026" width="7.42578125" customWidth="1"/>
    <col min="1027" max="1027" width="6.7109375" customWidth="1"/>
    <col min="1028" max="1028" width="26.42578125" customWidth="1"/>
    <col min="1029" max="1029" width="17.5703125" customWidth="1"/>
    <col min="1030" max="1030" width="13" bestFit="1" customWidth="1"/>
    <col min="1031" max="1031" width="11.28515625" customWidth="1"/>
    <col min="1032" max="1032" width="14.28515625" customWidth="1"/>
    <col min="1033" max="1033" width="12.7109375" customWidth="1"/>
    <col min="1034" max="1035" width="0" hidden="1" customWidth="1"/>
    <col min="1036" max="1036" width="8.5703125" customWidth="1"/>
    <col min="1037" max="1037" width="14.7109375" bestFit="1" customWidth="1"/>
    <col min="1038" max="1038" width="13.7109375" customWidth="1"/>
    <col min="1039" max="1039" width="16.28515625" bestFit="1" customWidth="1"/>
    <col min="1040" max="1040" width="14.85546875" customWidth="1"/>
    <col min="1041" max="1041" width="12.140625" customWidth="1"/>
    <col min="1042" max="1043" width="11.42578125" bestFit="1" customWidth="1"/>
    <col min="1044" max="1045" width="9.7109375" customWidth="1"/>
    <col min="1046" max="1046" width="15.85546875" customWidth="1"/>
    <col min="1047" max="1047" width="14.7109375" customWidth="1"/>
    <col min="1048" max="1048" width="14.85546875" customWidth="1"/>
    <col min="1049" max="1049" width="22.42578125" customWidth="1"/>
    <col min="1050" max="1050" width="2.85546875" customWidth="1"/>
    <col min="1051" max="1051" width="12.140625" bestFit="1" customWidth="1"/>
    <col min="1052" max="1263" width="9.140625" customWidth="1"/>
    <col min="1264" max="1264" width="4.42578125" customWidth="1"/>
    <col min="1265" max="1265" width="21.5703125" customWidth="1"/>
    <col min="1266" max="1266" width="17.28515625" customWidth="1"/>
    <col min="1267" max="1267" width="16.42578125" customWidth="1"/>
    <col min="1268" max="1268" width="9.85546875" customWidth="1"/>
    <col min="1269" max="1269" width="9.140625" customWidth="1"/>
    <col min="1270" max="1270" width="14.28515625" customWidth="1"/>
    <col min="1271" max="1271" width="8.42578125" customWidth="1"/>
    <col min="1272" max="1272" width="6.7109375" customWidth="1"/>
    <col min="1273" max="1273" width="7.42578125" customWidth="1"/>
    <col min="1281" max="1281" width="4.42578125" customWidth="1"/>
    <col min="1282" max="1282" width="7.42578125" customWidth="1"/>
    <col min="1283" max="1283" width="6.7109375" customWidth="1"/>
    <col min="1284" max="1284" width="26.42578125" customWidth="1"/>
    <col min="1285" max="1285" width="17.5703125" customWidth="1"/>
    <col min="1286" max="1286" width="13" bestFit="1" customWidth="1"/>
    <col min="1287" max="1287" width="11.28515625" customWidth="1"/>
    <col min="1288" max="1288" width="14.28515625" customWidth="1"/>
    <col min="1289" max="1289" width="12.7109375" customWidth="1"/>
    <col min="1290" max="1291" width="0" hidden="1" customWidth="1"/>
    <col min="1292" max="1292" width="8.5703125" customWidth="1"/>
    <col min="1293" max="1293" width="14.7109375" bestFit="1" customWidth="1"/>
    <col min="1294" max="1294" width="13.7109375" customWidth="1"/>
    <col min="1295" max="1295" width="16.28515625" bestFit="1" customWidth="1"/>
    <col min="1296" max="1296" width="14.85546875" customWidth="1"/>
    <col min="1297" max="1297" width="12.140625" customWidth="1"/>
    <col min="1298" max="1299" width="11.42578125" bestFit="1" customWidth="1"/>
    <col min="1300" max="1301" width="9.7109375" customWidth="1"/>
    <col min="1302" max="1302" width="15.85546875" customWidth="1"/>
    <col min="1303" max="1303" width="14.7109375" customWidth="1"/>
    <col min="1304" max="1304" width="14.85546875" customWidth="1"/>
    <col min="1305" max="1305" width="22.42578125" customWidth="1"/>
    <col min="1306" max="1306" width="2.85546875" customWidth="1"/>
    <col min="1307" max="1307" width="12.140625" bestFit="1" customWidth="1"/>
    <col min="1308" max="1519" width="9.140625" customWidth="1"/>
    <col min="1520" max="1520" width="4.42578125" customWidth="1"/>
    <col min="1521" max="1521" width="21.5703125" customWidth="1"/>
    <col min="1522" max="1522" width="17.28515625" customWidth="1"/>
    <col min="1523" max="1523" width="16.42578125" customWidth="1"/>
    <col min="1524" max="1524" width="9.85546875" customWidth="1"/>
    <col min="1525" max="1525" width="9.140625" customWidth="1"/>
    <col min="1526" max="1526" width="14.28515625" customWidth="1"/>
    <col min="1527" max="1527" width="8.42578125" customWidth="1"/>
    <col min="1528" max="1528" width="6.7109375" customWidth="1"/>
    <col min="1529" max="1529" width="7.42578125" customWidth="1"/>
    <col min="1537" max="1537" width="4.42578125" customWidth="1"/>
    <col min="1538" max="1538" width="7.42578125" customWidth="1"/>
    <col min="1539" max="1539" width="6.7109375" customWidth="1"/>
    <col min="1540" max="1540" width="26.42578125" customWidth="1"/>
    <col min="1541" max="1541" width="17.5703125" customWidth="1"/>
    <col min="1542" max="1542" width="13" bestFit="1" customWidth="1"/>
    <col min="1543" max="1543" width="11.28515625" customWidth="1"/>
    <col min="1544" max="1544" width="14.28515625" customWidth="1"/>
    <col min="1545" max="1545" width="12.7109375" customWidth="1"/>
    <col min="1546" max="1547" width="0" hidden="1" customWidth="1"/>
    <col min="1548" max="1548" width="8.5703125" customWidth="1"/>
    <col min="1549" max="1549" width="14.7109375" bestFit="1" customWidth="1"/>
    <col min="1550" max="1550" width="13.7109375" customWidth="1"/>
    <col min="1551" max="1551" width="16.28515625" bestFit="1" customWidth="1"/>
    <col min="1552" max="1552" width="14.85546875" customWidth="1"/>
    <col min="1553" max="1553" width="12.140625" customWidth="1"/>
    <col min="1554" max="1555" width="11.42578125" bestFit="1" customWidth="1"/>
    <col min="1556" max="1557" width="9.7109375" customWidth="1"/>
    <col min="1558" max="1558" width="15.85546875" customWidth="1"/>
    <col min="1559" max="1559" width="14.7109375" customWidth="1"/>
    <col min="1560" max="1560" width="14.85546875" customWidth="1"/>
    <col min="1561" max="1561" width="22.42578125" customWidth="1"/>
    <col min="1562" max="1562" width="2.85546875" customWidth="1"/>
    <col min="1563" max="1563" width="12.140625" bestFit="1" customWidth="1"/>
    <col min="1564" max="1775" width="9.140625" customWidth="1"/>
    <col min="1776" max="1776" width="4.42578125" customWidth="1"/>
    <col min="1777" max="1777" width="21.5703125" customWidth="1"/>
    <col min="1778" max="1778" width="17.28515625" customWidth="1"/>
    <col min="1779" max="1779" width="16.42578125" customWidth="1"/>
    <col min="1780" max="1780" width="9.85546875" customWidth="1"/>
    <col min="1781" max="1781" width="9.140625" customWidth="1"/>
    <col min="1782" max="1782" width="14.28515625" customWidth="1"/>
    <col min="1783" max="1783" width="8.42578125" customWidth="1"/>
    <col min="1784" max="1784" width="6.7109375" customWidth="1"/>
    <col min="1785" max="1785" width="7.42578125" customWidth="1"/>
    <col min="1793" max="1793" width="4.42578125" customWidth="1"/>
    <col min="1794" max="1794" width="7.42578125" customWidth="1"/>
    <col min="1795" max="1795" width="6.7109375" customWidth="1"/>
    <col min="1796" max="1796" width="26.42578125" customWidth="1"/>
    <col min="1797" max="1797" width="17.5703125" customWidth="1"/>
    <col min="1798" max="1798" width="13" bestFit="1" customWidth="1"/>
    <col min="1799" max="1799" width="11.28515625" customWidth="1"/>
    <col min="1800" max="1800" width="14.28515625" customWidth="1"/>
    <col min="1801" max="1801" width="12.7109375" customWidth="1"/>
    <col min="1802" max="1803" width="0" hidden="1" customWidth="1"/>
    <col min="1804" max="1804" width="8.5703125" customWidth="1"/>
    <col min="1805" max="1805" width="14.7109375" bestFit="1" customWidth="1"/>
    <col min="1806" max="1806" width="13.7109375" customWidth="1"/>
    <col min="1807" max="1807" width="16.28515625" bestFit="1" customWidth="1"/>
    <col min="1808" max="1808" width="14.85546875" customWidth="1"/>
    <col min="1809" max="1809" width="12.140625" customWidth="1"/>
    <col min="1810" max="1811" width="11.42578125" bestFit="1" customWidth="1"/>
    <col min="1812" max="1813" width="9.7109375" customWidth="1"/>
    <col min="1814" max="1814" width="15.85546875" customWidth="1"/>
    <col min="1815" max="1815" width="14.7109375" customWidth="1"/>
    <col min="1816" max="1816" width="14.85546875" customWidth="1"/>
    <col min="1817" max="1817" width="22.42578125" customWidth="1"/>
    <col min="1818" max="1818" width="2.85546875" customWidth="1"/>
    <col min="1819" max="1819" width="12.140625" bestFit="1" customWidth="1"/>
    <col min="1820" max="2031" width="9.140625" customWidth="1"/>
    <col min="2032" max="2032" width="4.42578125" customWidth="1"/>
    <col min="2033" max="2033" width="21.5703125" customWidth="1"/>
    <col min="2034" max="2034" width="17.28515625" customWidth="1"/>
    <col min="2035" max="2035" width="16.42578125" customWidth="1"/>
    <col min="2036" max="2036" width="9.85546875" customWidth="1"/>
    <col min="2037" max="2037" width="9.140625" customWidth="1"/>
    <col min="2038" max="2038" width="14.28515625" customWidth="1"/>
    <col min="2039" max="2039" width="8.42578125" customWidth="1"/>
    <col min="2040" max="2040" width="6.7109375" customWidth="1"/>
    <col min="2041" max="2041" width="7.42578125" customWidth="1"/>
    <col min="2049" max="2049" width="4.42578125" customWidth="1"/>
    <col min="2050" max="2050" width="7.42578125" customWidth="1"/>
    <col min="2051" max="2051" width="6.7109375" customWidth="1"/>
    <col min="2052" max="2052" width="26.42578125" customWidth="1"/>
    <col min="2053" max="2053" width="17.5703125" customWidth="1"/>
    <col min="2054" max="2054" width="13" bestFit="1" customWidth="1"/>
    <col min="2055" max="2055" width="11.28515625" customWidth="1"/>
    <col min="2056" max="2056" width="14.28515625" customWidth="1"/>
    <col min="2057" max="2057" width="12.7109375" customWidth="1"/>
    <col min="2058" max="2059" width="0" hidden="1" customWidth="1"/>
    <col min="2060" max="2060" width="8.5703125" customWidth="1"/>
    <col min="2061" max="2061" width="14.7109375" bestFit="1" customWidth="1"/>
    <col min="2062" max="2062" width="13.7109375" customWidth="1"/>
    <col min="2063" max="2063" width="16.28515625" bestFit="1" customWidth="1"/>
    <col min="2064" max="2064" width="14.85546875" customWidth="1"/>
    <col min="2065" max="2065" width="12.140625" customWidth="1"/>
    <col min="2066" max="2067" width="11.42578125" bestFit="1" customWidth="1"/>
    <col min="2068" max="2069" width="9.7109375" customWidth="1"/>
    <col min="2070" max="2070" width="15.85546875" customWidth="1"/>
    <col min="2071" max="2071" width="14.7109375" customWidth="1"/>
    <col min="2072" max="2072" width="14.85546875" customWidth="1"/>
    <col min="2073" max="2073" width="22.42578125" customWidth="1"/>
    <col min="2074" max="2074" width="2.85546875" customWidth="1"/>
    <col min="2075" max="2075" width="12.140625" bestFit="1" customWidth="1"/>
    <col min="2076" max="2287" width="9.140625" customWidth="1"/>
    <col min="2288" max="2288" width="4.42578125" customWidth="1"/>
    <col min="2289" max="2289" width="21.5703125" customWidth="1"/>
    <col min="2290" max="2290" width="17.28515625" customWidth="1"/>
    <col min="2291" max="2291" width="16.42578125" customWidth="1"/>
    <col min="2292" max="2292" width="9.85546875" customWidth="1"/>
    <col min="2293" max="2293" width="9.140625" customWidth="1"/>
    <col min="2294" max="2294" width="14.28515625" customWidth="1"/>
    <col min="2295" max="2295" width="8.42578125" customWidth="1"/>
    <col min="2296" max="2296" width="6.7109375" customWidth="1"/>
    <col min="2297" max="2297" width="7.42578125" customWidth="1"/>
    <col min="2305" max="2305" width="4.42578125" customWidth="1"/>
    <col min="2306" max="2306" width="7.42578125" customWidth="1"/>
    <col min="2307" max="2307" width="6.7109375" customWidth="1"/>
    <col min="2308" max="2308" width="26.42578125" customWidth="1"/>
    <col min="2309" max="2309" width="17.5703125" customWidth="1"/>
    <col min="2310" max="2310" width="13" bestFit="1" customWidth="1"/>
    <col min="2311" max="2311" width="11.28515625" customWidth="1"/>
    <col min="2312" max="2312" width="14.28515625" customWidth="1"/>
    <col min="2313" max="2313" width="12.7109375" customWidth="1"/>
    <col min="2314" max="2315" width="0" hidden="1" customWidth="1"/>
    <col min="2316" max="2316" width="8.5703125" customWidth="1"/>
    <col min="2317" max="2317" width="14.7109375" bestFit="1" customWidth="1"/>
    <col min="2318" max="2318" width="13.7109375" customWidth="1"/>
    <col min="2319" max="2319" width="16.28515625" bestFit="1" customWidth="1"/>
    <col min="2320" max="2320" width="14.85546875" customWidth="1"/>
    <col min="2321" max="2321" width="12.140625" customWidth="1"/>
    <col min="2322" max="2323" width="11.42578125" bestFit="1" customWidth="1"/>
    <col min="2324" max="2325" width="9.7109375" customWidth="1"/>
    <col min="2326" max="2326" width="15.85546875" customWidth="1"/>
    <col min="2327" max="2327" width="14.7109375" customWidth="1"/>
    <col min="2328" max="2328" width="14.85546875" customWidth="1"/>
    <col min="2329" max="2329" width="22.42578125" customWidth="1"/>
    <col min="2330" max="2330" width="2.85546875" customWidth="1"/>
    <col min="2331" max="2331" width="12.140625" bestFit="1" customWidth="1"/>
    <col min="2332" max="2543" width="9.140625" customWidth="1"/>
    <col min="2544" max="2544" width="4.42578125" customWidth="1"/>
    <col min="2545" max="2545" width="21.5703125" customWidth="1"/>
    <col min="2546" max="2546" width="17.28515625" customWidth="1"/>
    <col min="2547" max="2547" width="16.42578125" customWidth="1"/>
    <col min="2548" max="2548" width="9.85546875" customWidth="1"/>
    <col min="2549" max="2549" width="9.140625" customWidth="1"/>
    <col min="2550" max="2550" width="14.28515625" customWidth="1"/>
    <col min="2551" max="2551" width="8.42578125" customWidth="1"/>
    <col min="2552" max="2552" width="6.7109375" customWidth="1"/>
    <col min="2553" max="2553" width="7.42578125" customWidth="1"/>
    <col min="2561" max="2561" width="4.42578125" customWidth="1"/>
    <col min="2562" max="2562" width="7.42578125" customWidth="1"/>
    <col min="2563" max="2563" width="6.7109375" customWidth="1"/>
    <col min="2564" max="2564" width="26.42578125" customWidth="1"/>
    <col min="2565" max="2565" width="17.5703125" customWidth="1"/>
    <col min="2566" max="2566" width="13" bestFit="1" customWidth="1"/>
    <col min="2567" max="2567" width="11.28515625" customWidth="1"/>
    <col min="2568" max="2568" width="14.28515625" customWidth="1"/>
    <col min="2569" max="2569" width="12.7109375" customWidth="1"/>
    <col min="2570" max="2571" width="0" hidden="1" customWidth="1"/>
    <col min="2572" max="2572" width="8.5703125" customWidth="1"/>
    <col min="2573" max="2573" width="14.7109375" bestFit="1" customWidth="1"/>
    <col min="2574" max="2574" width="13.7109375" customWidth="1"/>
    <col min="2575" max="2575" width="16.28515625" bestFit="1" customWidth="1"/>
    <col min="2576" max="2576" width="14.85546875" customWidth="1"/>
    <col min="2577" max="2577" width="12.140625" customWidth="1"/>
    <col min="2578" max="2579" width="11.42578125" bestFit="1" customWidth="1"/>
    <col min="2580" max="2581" width="9.7109375" customWidth="1"/>
    <col min="2582" max="2582" width="15.85546875" customWidth="1"/>
    <col min="2583" max="2583" width="14.7109375" customWidth="1"/>
    <col min="2584" max="2584" width="14.85546875" customWidth="1"/>
    <col min="2585" max="2585" width="22.42578125" customWidth="1"/>
    <col min="2586" max="2586" width="2.85546875" customWidth="1"/>
    <col min="2587" max="2587" width="12.140625" bestFit="1" customWidth="1"/>
    <col min="2588" max="2799" width="9.140625" customWidth="1"/>
    <col min="2800" max="2800" width="4.42578125" customWidth="1"/>
    <col min="2801" max="2801" width="21.5703125" customWidth="1"/>
    <col min="2802" max="2802" width="17.28515625" customWidth="1"/>
    <col min="2803" max="2803" width="16.42578125" customWidth="1"/>
    <col min="2804" max="2804" width="9.85546875" customWidth="1"/>
    <col min="2805" max="2805" width="9.140625" customWidth="1"/>
    <col min="2806" max="2806" width="14.28515625" customWidth="1"/>
    <col min="2807" max="2807" width="8.42578125" customWidth="1"/>
    <col min="2808" max="2808" width="6.7109375" customWidth="1"/>
    <col min="2809" max="2809" width="7.42578125" customWidth="1"/>
    <col min="2817" max="2817" width="4.42578125" customWidth="1"/>
    <col min="2818" max="2818" width="7.42578125" customWidth="1"/>
    <col min="2819" max="2819" width="6.7109375" customWidth="1"/>
    <col min="2820" max="2820" width="26.42578125" customWidth="1"/>
    <col min="2821" max="2821" width="17.5703125" customWidth="1"/>
    <col min="2822" max="2822" width="13" bestFit="1" customWidth="1"/>
    <col min="2823" max="2823" width="11.28515625" customWidth="1"/>
    <col min="2824" max="2824" width="14.28515625" customWidth="1"/>
    <col min="2825" max="2825" width="12.7109375" customWidth="1"/>
    <col min="2826" max="2827" width="0" hidden="1" customWidth="1"/>
    <col min="2828" max="2828" width="8.5703125" customWidth="1"/>
    <col min="2829" max="2829" width="14.7109375" bestFit="1" customWidth="1"/>
    <col min="2830" max="2830" width="13.7109375" customWidth="1"/>
    <col min="2831" max="2831" width="16.28515625" bestFit="1" customWidth="1"/>
    <col min="2832" max="2832" width="14.85546875" customWidth="1"/>
    <col min="2833" max="2833" width="12.140625" customWidth="1"/>
    <col min="2834" max="2835" width="11.42578125" bestFit="1" customWidth="1"/>
    <col min="2836" max="2837" width="9.7109375" customWidth="1"/>
    <col min="2838" max="2838" width="15.85546875" customWidth="1"/>
    <col min="2839" max="2839" width="14.7109375" customWidth="1"/>
    <col min="2840" max="2840" width="14.85546875" customWidth="1"/>
    <col min="2841" max="2841" width="22.42578125" customWidth="1"/>
    <col min="2842" max="2842" width="2.85546875" customWidth="1"/>
    <col min="2843" max="2843" width="12.140625" bestFit="1" customWidth="1"/>
    <col min="2844" max="3055" width="9.140625" customWidth="1"/>
    <col min="3056" max="3056" width="4.42578125" customWidth="1"/>
    <col min="3057" max="3057" width="21.5703125" customWidth="1"/>
    <col min="3058" max="3058" width="17.28515625" customWidth="1"/>
    <col min="3059" max="3059" width="16.42578125" customWidth="1"/>
    <col min="3060" max="3060" width="9.85546875" customWidth="1"/>
    <col min="3061" max="3061" width="9.140625" customWidth="1"/>
    <col min="3062" max="3062" width="14.28515625" customWidth="1"/>
    <col min="3063" max="3063" width="8.42578125" customWidth="1"/>
    <col min="3064" max="3064" width="6.7109375" customWidth="1"/>
    <col min="3065" max="3065" width="7.42578125" customWidth="1"/>
    <col min="3073" max="3073" width="4.42578125" customWidth="1"/>
    <col min="3074" max="3074" width="7.42578125" customWidth="1"/>
    <col min="3075" max="3075" width="6.7109375" customWidth="1"/>
    <col min="3076" max="3076" width="26.42578125" customWidth="1"/>
    <col min="3077" max="3077" width="17.5703125" customWidth="1"/>
    <col min="3078" max="3078" width="13" bestFit="1" customWidth="1"/>
    <col min="3079" max="3079" width="11.28515625" customWidth="1"/>
    <col min="3080" max="3080" width="14.28515625" customWidth="1"/>
    <col min="3081" max="3081" width="12.7109375" customWidth="1"/>
    <col min="3082" max="3083" width="0" hidden="1" customWidth="1"/>
    <col min="3084" max="3084" width="8.5703125" customWidth="1"/>
    <col min="3085" max="3085" width="14.7109375" bestFit="1" customWidth="1"/>
    <col min="3086" max="3086" width="13.7109375" customWidth="1"/>
    <col min="3087" max="3087" width="16.28515625" bestFit="1" customWidth="1"/>
    <col min="3088" max="3088" width="14.85546875" customWidth="1"/>
    <col min="3089" max="3089" width="12.140625" customWidth="1"/>
    <col min="3090" max="3091" width="11.42578125" bestFit="1" customWidth="1"/>
    <col min="3092" max="3093" width="9.7109375" customWidth="1"/>
    <col min="3094" max="3094" width="15.85546875" customWidth="1"/>
    <col min="3095" max="3095" width="14.7109375" customWidth="1"/>
    <col min="3096" max="3096" width="14.85546875" customWidth="1"/>
    <col min="3097" max="3097" width="22.42578125" customWidth="1"/>
    <col min="3098" max="3098" width="2.85546875" customWidth="1"/>
    <col min="3099" max="3099" width="12.140625" bestFit="1" customWidth="1"/>
    <col min="3100" max="3311" width="9.140625" customWidth="1"/>
    <col min="3312" max="3312" width="4.42578125" customWidth="1"/>
    <col min="3313" max="3313" width="21.5703125" customWidth="1"/>
    <col min="3314" max="3314" width="17.28515625" customWidth="1"/>
    <col min="3315" max="3315" width="16.42578125" customWidth="1"/>
    <col min="3316" max="3316" width="9.85546875" customWidth="1"/>
    <col min="3317" max="3317" width="9.140625" customWidth="1"/>
    <col min="3318" max="3318" width="14.28515625" customWidth="1"/>
    <col min="3319" max="3319" width="8.42578125" customWidth="1"/>
    <col min="3320" max="3320" width="6.7109375" customWidth="1"/>
    <col min="3321" max="3321" width="7.42578125" customWidth="1"/>
    <col min="3329" max="3329" width="4.42578125" customWidth="1"/>
    <col min="3330" max="3330" width="7.42578125" customWidth="1"/>
    <col min="3331" max="3331" width="6.7109375" customWidth="1"/>
    <col min="3332" max="3332" width="26.42578125" customWidth="1"/>
    <col min="3333" max="3333" width="17.5703125" customWidth="1"/>
    <col min="3334" max="3334" width="13" bestFit="1" customWidth="1"/>
    <col min="3335" max="3335" width="11.28515625" customWidth="1"/>
    <col min="3336" max="3336" width="14.28515625" customWidth="1"/>
    <col min="3337" max="3337" width="12.7109375" customWidth="1"/>
    <col min="3338" max="3339" width="0" hidden="1" customWidth="1"/>
    <col min="3340" max="3340" width="8.5703125" customWidth="1"/>
    <col min="3341" max="3341" width="14.7109375" bestFit="1" customWidth="1"/>
    <col min="3342" max="3342" width="13.7109375" customWidth="1"/>
    <col min="3343" max="3343" width="16.28515625" bestFit="1" customWidth="1"/>
    <col min="3344" max="3344" width="14.85546875" customWidth="1"/>
    <col min="3345" max="3345" width="12.140625" customWidth="1"/>
    <col min="3346" max="3347" width="11.42578125" bestFit="1" customWidth="1"/>
    <col min="3348" max="3349" width="9.7109375" customWidth="1"/>
    <col min="3350" max="3350" width="15.85546875" customWidth="1"/>
    <col min="3351" max="3351" width="14.7109375" customWidth="1"/>
    <col min="3352" max="3352" width="14.85546875" customWidth="1"/>
    <col min="3353" max="3353" width="22.42578125" customWidth="1"/>
    <col min="3354" max="3354" width="2.85546875" customWidth="1"/>
    <col min="3355" max="3355" width="12.140625" bestFit="1" customWidth="1"/>
    <col min="3356" max="3567" width="9.140625" customWidth="1"/>
    <col min="3568" max="3568" width="4.42578125" customWidth="1"/>
    <col min="3569" max="3569" width="21.5703125" customWidth="1"/>
    <col min="3570" max="3570" width="17.28515625" customWidth="1"/>
    <col min="3571" max="3571" width="16.42578125" customWidth="1"/>
    <col min="3572" max="3572" width="9.85546875" customWidth="1"/>
    <col min="3573" max="3573" width="9.140625" customWidth="1"/>
    <col min="3574" max="3574" width="14.28515625" customWidth="1"/>
    <col min="3575" max="3575" width="8.42578125" customWidth="1"/>
    <col min="3576" max="3576" width="6.7109375" customWidth="1"/>
    <col min="3577" max="3577" width="7.42578125" customWidth="1"/>
    <col min="3585" max="3585" width="4.42578125" customWidth="1"/>
    <col min="3586" max="3586" width="7.42578125" customWidth="1"/>
    <col min="3587" max="3587" width="6.7109375" customWidth="1"/>
    <col min="3588" max="3588" width="26.42578125" customWidth="1"/>
    <col min="3589" max="3589" width="17.5703125" customWidth="1"/>
    <col min="3590" max="3590" width="13" bestFit="1" customWidth="1"/>
    <col min="3591" max="3591" width="11.28515625" customWidth="1"/>
    <col min="3592" max="3592" width="14.28515625" customWidth="1"/>
    <col min="3593" max="3593" width="12.7109375" customWidth="1"/>
    <col min="3594" max="3595" width="0" hidden="1" customWidth="1"/>
    <col min="3596" max="3596" width="8.5703125" customWidth="1"/>
    <col min="3597" max="3597" width="14.7109375" bestFit="1" customWidth="1"/>
    <col min="3598" max="3598" width="13.7109375" customWidth="1"/>
    <col min="3599" max="3599" width="16.28515625" bestFit="1" customWidth="1"/>
    <col min="3600" max="3600" width="14.85546875" customWidth="1"/>
    <col min="3601" max="3601" width="12.140625" customWidth="1"/>
    <col min="3602" max="3603" width="11.42578125" bestFit="1" customWidth="1"/>
    <col min="3604" max="3605" width="9.7109375" customWidth="1"/>
    <col min="3606" max="3606" width="15.85546875" customWidth="1"/>
    <col min="3607" max="3607" width="14.7109375" customWidth="1"/>
    <col min="3608" max="3608" width="14.85546875" customWidth="1"/>
    <col min="3609" max="3609" width="22.42578125" customWidth="1"/>
    <col min="3610" max="3610" width="2.85546875" customWidth="1"/>
    <col min="3611" max="3611" width="12.140625" bestFit="1" customWidth="1"/>
    <col min="3612" max="3823" width="9.140625" customWidth="1"/>
    <col min="3824" max="3824" width="4.42578125" customWidth="1"/>
    <col min="3825" max="3825" width="21.5703125" customWidth="1"/>
    <col min="3826" max="3826" width="17.28515625" customWidth="1"/>
    <col min="3827" max="3827" width="16.42578125" customWidth="1"/>
    <col min="3828" max="3828" width="9.85546875" customWidth="1"/>
    <col min="3829" max="3829" width="9.140625" customWidth="1"/>
    <col min="3830" max="3830" width="14.28515625" customWidth="1"/>
    <col min="3831" max="3831" width="8.42578125" customWidth="1"/>
    <col min="3832" max="3832" width="6.7109375" customWidth="1"/>
    <col min="3833" max="3833" width="7.42578125" customWidth="1"/>
    <col min="3841" max="3841" width="4.42578125" customWidth="1"/>
    <col min="3842" max="3842" width="7.42578125" customWidth="1"/>
    <col min="3843" max="3843" width="6.7109375" customWidth="1"/>
    <col min="3844" max="3844" width="26.42578125" customWidth="1"/>
    <col min="3845" max="3845" width="17.5703125" customWidth="1"/>
    <col min="3846" max="3846" width="13" bestFit="1" customWidth="1"/>
    <col min="3847" max="3847" width="11.28515625" customWidth="1"/>
    <col min="3848" max="3848" width="14.28515625" customWidth="1"/>
    <col min="3849" max="3849" width="12.7109375" customWidth="1"/>
    <col min="3850" max="3851" width="0" hidden="1" customWidth="1"/>
    <col min="3852" max="3852" width="8.5703125" customWidth="1"/>
    <col min="3853" max="3853" width="14.7109375" bestFit="1" customWidth="1"/>
    <col min="3854" max="3854" width="13.7109375" customWidth="1"/>
    <col min="3855" max="3855" width="16.28515625" bestFit="1" customWidth="1"/>
    <col min="3856" max="3856" width="14.85546875" customWidth="1"/>
    <col min="3857" max="3857" width="12.140625" customWidth="1"/>
    <col min="3858" max="3859" width="11.42578125" bestFit="1" customWidth="1"/>
    <col min="3860" max="3861" width="9.7109375" customWidth="1"/>
    <col min="3862" max="3862" width="15.85546875" customWidth="1"/>
    <col min="3863" max="3863" width="14.7109375" customWidth="1"/>
    <col min="3864" max="3864" width="14.85546875" customWidth="1"/>
    <col min="3865" max="3865" width="22.42578125" customWidth="1"/>
    <col min="3866" max="3866" width="2.85546875" customWidth="1"/>
    <col min="3867" max="3867" width="12.140625" bestFit="1" customWidth="1"/>
    <col min="3868" max="4079" width="9.140625" customWidth="1"/>
    <col min="4080" max="4080" width="4.42578125" customWidth="1"/>
    <col min="4081" max="4081" width="21.5703125" customWidth="1"/>
    <col min="4082" max="4082" width="17.28515625" customWidth="1"/>
    <col min="4083" max="4083" width="16.42578125" customWidth="1"/>
    <col min="4084" max="4084" width="9.85546875" customWidth="1"/>
    <col min="4085" max="4085" width="9.140625" customWidth="1"/>
    <col min="4086" max="4086" width="14.28515625" customWidth="1"/>
    <col min="4087" max="4087" width="8.42578125" customWidth="1"/>
    <col min="4088" max="4088" width="6.7109375" customWidth="1"/>
    <col min="4089" max="4089" width="7.42578125" customWidth="1"/>
    <col min="4097" max="4097" width="4.42578125" customWidth="1"/>
    <col min="4098" max="4098" width="7.42578125" customWidth="1"/>
    <col min="4099" max="4099" width="6.7109375" customWidth="1"/>
    <col min="4100" max="4100" width="26.42578125" customWidth="1"/>
    <col min="4101" max="4101" width="17.5703125" customWidth="1"/>
    <col min="4102" max="4102" width="13" bestFit="1" customWidth="1"/>
    <col min="4103" max="4103" width="11.28515625" customWidth="1"/>
    <col min="4104" max="4104" width="14.28515625" customWidth="1"/>
    <col min="4105" max="4105" width="12.7109375" customWidth="1"/>
    <col min="4106" max="4107" width="0" hidden="1" customWidth="1"/>
    <col min="4108" max="4108" width="8.5703125" customWidth="1"/>
    <col min="4109" max="4109" width="14.7109375" bestFit="1" customWidth="1"/>
    <col min="4110" max="4110" width="13.7109375" customWidth="1"/>
    <col min="4111" max="4111" width="16.28515625" bestFit="1" customWidth="1"/>
    <col min="4112" max="4112" width="14.85546875" customWidth="1"/>
    <col min="4113" max="4113" width="12.140625" customWidth="1"/>
    <col min="4114" max="4115" width="11.42578125" bestFit="1" customWidth="1"/>
    <col min="4116" max="4117" width="9.7109375" customWidth="1"/>
    <col min="4118" max="4118" width="15.85546875" customWidth="1"/>
    <col min="4119" max="4119" width="14.7109375" customWidth="1"/>
    <col min="4120" max="4120" width="14.85546875" customWidth="1"/>
    <col min="4121" max="4121" width="22.42578125" customWidth="1"/>
    <col min="4122" max="4122" width="2.85546875" customWidth="1"/>
    <col min="4123" max="4123" width="12.140625" bestFit="1" customWidth="1"/>
    <col min="4124" max="4335" width="9.140625" customWidth="1"/>
    <col min="4336" max="4336" width="4.42578125" customWidth="1"/>
    <col min="4337" max="4337" width="21.5703125" customWidth="1"/>
    <col min="4338" max="4338" width="17.28515625" customWidth="1"/>
    <col min="4339" max="4339" width="16.42578125" customWidth="1"/>
    <col min="4340" max="4340" width="9.85546875" customWidth="1"/>
    <col min="4341" max="4341" width="9.140625" customWidth="1"/>
    <col min="4342" max="4342" width="14.28515625" customWidth="1"/>
    <col min="4343" max="4343" width="8.42578125" customWidth="1"/>
    <col min="4344" max="4344" width="6.7109375" customWidth="1"/>
    <col min="4345" max="4345" width="7.42578125" customWidth="1"/>
    <col min="4353" max="4353" width="4.42578125" customWidth="1"/>
    <col min="4354" max="4354" width="7.42578125" customWidth="1"/>
    <col min="4355" max="4355" width="6.7109375" customWidth="1"/>
    <col min="4356" max="4356" width="26.42578125" customWidth="1"/>
    <col min="4357" max="4357" width="17.5703125" customWidth="1"/>
    <col min="4358" max="4358" width="13" bestFit="1" customWidth="1"/>
    <col min="4359" max="4359" width="11.28515625" customWidth="1"/>
    <col min="4360" max="4360" width="14.28515625" customWidth="1"/>
    <col min="4361" max="4361" width="12.7109375" customWidth="1"/>
    <col min="4362" max="4363" width="0" hidden="1" customWidth="1"/>
    <col min="4364" max="4364" width="8.5703125" customWidth="1"/>
    <col min="4365" max="4365" width="14.7109375" bestFit="1" customWidth="1"/>
    <col min="4366" max="4366" width="13.7109375" customWidth="1"/>
    <col min="4367" max="4367" width="16.28515625" bestFit="1" customWidth="1"/>
    <col min="4368" max="4368" width="14.85546875" customWidth="1"/>
    <col min="4369" max="4369" width="12.140625" customWidth="1"/>
    <col min="4370" max="4371" width="11.42578125" bestFit="1" customWidth="1"/>
    <col min="4372" max="4373" width="9.7109375" customWidth="1"/>
    <col min="4374" max="4374" width="15.85546875" customWidth="1"/>
    <col min="4375" max="4375" width="14.7109375" customWidth="1"/>
    <col min="4376" max="4376" width="14.85546875" customWidth="1"/>
    <col min="4377" max="4377" width="22.42578125" customWidth="1"/>
    <col min="4378" max="4378" width="2.85546875" customWidth="1"/>
    <col min="4379" max="4379" width="12.140625" bestFit="1" customWidth="1"/>
    <col min="4380" max="4591" width="9.140625" customWidth="1"/>
    <col min="4592" max="4592" width="4.42578125" customWidth="1"/>
    <col min="4593" max="4593" width="21.5703125" customWidth="1"/>
    <col min="4594" max="4594" width="17.28515625" customWidth="1"/>
    <col min="4595" max="4595" width="16.42578125" customWidth="1"/>
    <col min="4596" max="4596" width="9.85546875" customWidth="1"/>
    <col min="4597" max="4597" width="9.140625" customWidth="1"/>
    <col min="4598" max="4598" width="14.28515625" customWidth="1"/>
    <col min="4599" max="4599" width="8.42578125" customWidth="1"/>
    <col min="4600" max="4600" width="6.7109375" customWidth="1"/>
    <col min="4601" max="4601" width="7.42578125" customWidth="1"/>
    <col min="4609" max="4609" width="4.42578125" customWidth="1"/>
    <col min="4610" max="4610" width="7.42578125" customWidth="1"/>
    <col min="4611" max="4611" width="6.7109375" customWidth="1"/>
    <col min="4612" max="4612" width="26.42578125" customWidth="1"/>
    <col min="4613" max="4613" width="17.5703125" customWidth="1"/>
    <col min="4614" max="4614" width="13" bestFit="1" customWidth="1"/>
    <col min="4615" max="4615" width="11.28515625" customWidth="1"/>
    <col min="4616" max="4616" width="14.28515625" customWidth="1"/>
    <col min="4617" max="4617" width="12.7109375" customWidth="1"/>
    <col min="4618" max="4619" width="0" hidden="1" customWidth="1"/>
    <col min="4620" max="4620" width="8.5703125" customWidth="1"/>
    <col min="4621" max="4621" width="14.7109375" bestFit="1" customWidth="1"/>
    <col min="4622" max="4622" width="13.7109375" customWidth="1"/>
    <col min="4623" max="4623" width="16.28515625" bestFit="1" customWidth="1"/>
    <col min="4624" max="4624" width="14.85546875" customWidth="1"/>
    <col min="4625" max="4625" width="12.140625" customWidth="1"/>
    <col min="4626" max="4627" width="11.42578125" bestFit="1" customWidth="1"/>
    <col min="4628" max="4629" width="9.7109375" customWidth="1"/>
    <col min="4630" max="4630" width="15.85546875" customWidth="1"/>
    <col min="4631" max="4631" width="14.7109375" customWidth="1"/>
    <col min="4632" max="4632" width="14.85546875" customWidth="1"/>
    <col min="4633" max="4633" width="22.42578125" customWidth="1"/>
    <col min="4634" max="4634" width="2.85546875" customWidth="1"/>
    <col min="4635" max="4635" width="12.140625" bestFit="1" customWidth="1"/>
    <col min="4636" max="4847" width="9.140625" customWidth="1"/>
    <col min="4848" max="4848" width="4.42578125" customWidth="1"/>
    <col min="4849" max="4849" width="21.5703125" customWidth="1"/>
    <col min="4850" max="4850" width="17.28515625" customWidth="1"/>
    <col min="4851" max="4851" width="16.42578125" customWidth="1"/>
    <col min="4852" max="4852" width="9.85546875" customWidth="1"/>
    <col min="4853" max="4853" width="9.140625" customWidth="1"/>
    <col min="4854" max="4854" width="14.28515625" customWidth="1"/>
    <col min="4855" max="4855" width="8.42578125" customWidth="1"/>
    <col min="4856" max="4856" width="6.7109375" customWidth="1"/>
    <col min="4857" max="4857" width="7.42578125" customWidth="1"/>
    <col min="4865" max="4865" width="4.42578125" customWidth="1"/>
    <col min="4866" max="4866" width="7.42578125" customWidth="1"/>
    <col min="4867" max="4867" width="6.7109375" customWidth="1"/>
    <col min="4868" max="4868" width="26.42578125" customWidth="1"/>
    <col min="4869" max="4869" width="17.5703125" customWidth="1"/>
    <col min="4870" max="4870" width="13" bestFit="1" customWidth="1"/>
    <col min="4871" max="4871" width="11.28515625" customWidth="1"/>
    <col min="4872" max="4872" width="14.28515625" customWidth="1"/>
    <col min="4873" max="4873" width="12.7109375" customWidth="1"/>
    <col min="4874" max="4875" width="0" hidden="1" customWidth="1"/>
    <col min="4876" max="4876" width="8.5703125" customWidth="1"/>
    <col min="4877" max="4877" width="14.7109375" bestFit="1" customWidth="1"/>
    <col min="4878" max="4878" width="13.7109375" customWidth="1"/>
    <col min="4879" max="4879" width="16.28515625" bestFit="1" customWidth="1"/>
    <col min="4880" max="4880" width="14.85546875" customWidth="1"/>
    <col min="4881" max="4881" width="12.140625" customWidth="1"/>
    <col min="4882" max="4883" width="11.42578125" bestFit="1" customWidth="1"/>
    <col min="4884" max="4885" width="9.7109375" customWidth="1"/>
    <col min="4886" max="4886" width="15.85546875" customWidth="1"/>
    <col min="4887" max="4887" width="14.7109375" customWidth="1"/>
    <col min="4888" max="4888" width="14.85546875" customWidth="1"/>
    <col min="4889" max="4889" width="22.42578125" customWidth="1"/>
    <col min="4890" max="4890" width="2.85546875" customWidth="1"/>
    <col min="4891" max="4891" width="12.140625" bestFit="1" customWidth="1"/>
    <col min="4892" max="5103" width="9.140625" customWidth="1"/>
    <col min="5104" max="5104" width="4.42578125" customWidth="1"/>
    <col min="5105" max="5105" width="21.5703125" customWidth="1"/>
    <col min="5106" max="5106" width="17.28515625" customWidth="1"/>
    <col min="5107" max="5107" width="16.42578125" customWidth="1"/>
    <col min="5108" max="5108" width="9.85546875" customWidth="1"/>
    <col min="5109" max="5109" width="9.140625" customWidth="1"/>
    <col min="5110" max="5110" width="14.28515625" customWidth="1"/>
    <col min="5111" max="5111" width="8.42578125" customWidth="1"/>
    <col min="5112" max="5112" width="6.7109375" customWidth="1"/>
    <col min="5113" max="5113" width="7.42578125" customWidth="1"/>
    <col min="5121" max="5121" width="4.42578125" customWidth="1"/>
    <col min="5122" max="5122" width="7.42578125" customWidth="1"/>
    <col min="5123" max="5123" width="6.7109375" customWidth="1"/>
    <col min="5124" max="5124" width="26.42578125" customWidth="1"/>
    <col min="5125" max="5125" width="17.5703125" customWidth="1"/>
    <col min="5126" max="5126" width="13" bestFit="1" customWidth="1"/>
    <col min="5127" max="5127" width="11.28515625" customWidth="1"/>
    <col min="5128" max="5128" width="14.28515625" customWidth="1"/>
    <col min="5129" max="5129" width="12.7109375" customWidth="1"/>
    <col min="5130" max="5131" width="0" hidden="1" customWidth="1"/>
    <col min="5132" max="5132" width="8.5703125" customWidth="1"/>
    <col min="5133" max="5133" width="14.7109375" bestFit="1" customWidth="1"/>
    <col min="5134" max="5134" width="13.7109375" customWidth="1"/>
    <col min="5135" max="5135" width="16.28515625" bestFit="1" customWidth="1"/>
    <col min="5136" max="5136" width="14.85546875" customWidth="1"/>
    <col min="5137" max="5137" width="12.140625" customWidth="1"/>
    <col min="5138" max="5139" width="11.42578125" bestFit="1" customWidth="1"/>
    <col min="5140" max="5141" width="9.7109375" customWidth="1"/>
    <col min="5142" max="5142" width="15.85546875" customWidth="1"/>
    <col min="5143" max="5143" width="14.7109375" customWidth="1"/>
    <col min="5144" max="5144" width="14.85546875" customWidth="1"/>
    <col min="5145" max="5145" width="22.42578125" customWidth="1"/>
    <col min="5146" max="5146" width="2.85546875" customWidth="1"/>
    <col min="5147" max="5147" width="12.140625" bestFit="1" customWidth="1"/>
    <col min="5148" max="5359" width="9.140625" customWidth="1"/>
    <col min="5360" max="5360" width="4.42578125" customWidth="1"/>
    <col min="5361" max="5361" width="21.5703125" customWidth="1"/>
    <col min="5362" max="5362" width="17.28515625" customWidth="1"/>
    <col min="5363" max="5363" width="16.42578125" customWidth="1"/>
    <col min="5364" max="5364" width="9.85546875" customWidth="1"/>
    <col min="5365" max="5365" width="9.140625" customWidth="1"/>
    <col min="5366" max="5366" width="14.28515625" customWidth="1"/>
    <col min="5367" max="5367" width="8.42578125" customWidth="1"/>
    <col min="5368" max="5368" width="6.7109375" customWidth="1"/>
    <col min="5369" max="5369" width="7.42578125" customWidth="1"/>
    <col min="5377" max="5377" width="4.42578125" customWidth="1"/>
    <col min="5378" max="5378" width="7.42578125" customWidth="1"/>
    <col min="5379" max="5379" width="6.7109375" customWidth="1"/>
    <col min="5380" max="5380" width="26.42578125" customWidth="1"/>
    <col min="5381" max="5381" width="17.5703125" customWidth="1"/>
    <col min="5382" max="5382" width="13" bestFit="1" customWidth="1"/>
    <col min="5383" max="5383" width="11.28515625" customWidth="1"/>
    <col min="5384" max="5384" width="14.28515625" customWidth="1"/>
    <col min="5385" max="5385" width="12.7109375" customWidth="1"/>
    <col min="5386" max="5387" width="0" hidden="1" customWidth="1"/>
    <col min="5388" max="5388" width="8.5703125" customWidth="1"/>
    <col min="5389" max="5389" width="14.7109375" bestFit="1" customWidth="1"/>
    <col min="5390" max="5390" width="13.7109375" customWidth="1"/>
    <col min="5391" max="5391" width="16.28515625" bestFit="1" customWidth="1"/>
    <col min="5392" max="5392" width="14.85546875" customWidth="1"/>
    <col min="5393" max="5393" width="12.140625" customWidth="1"/>
    <col min="5394" max="5395" width="11.42578125" bestFit="1" customWidth="1"/>
    <col min="5396" max="5397" width="9.7109375" customWidth="1"/>
    <col min="5398" max="5398" width="15.85546875" customWidth="1"/>
    <col min="5399" max="5399" width="14.7109375" customWidth="1"/>
    <col min="5400" max="5400" width="14.85546875" customWidth="1"/>
    <col min="5401" max="5401" width="22.42578125" customWidth="1"/>
    <col min="5402" max="5402" width="2.85546875" customWidth="1"/>
    <col min="5403" max="5403" width="12.140625" bestFit="1" customWidth="1"/>
    <col min="5404" max="5615" width="9.140625" customWidth="1"/>
    <col min="5616" max="5616" width="4.42578125" customWidth="1"/>
    <col min="5617" max="5617" width="21.5703125" customWidth="1"/>
    <col min="5618" max="5618" width="17.28515625" customWidth="1"/>
    <col min="5619" max="5619" width="16.42578125" customWidth="1"/>
    <col min="5620" max="5620" width="9.85546875" customWidth="1"/>
    <col min="5621" max="5621" width="9.140625" customWidth="1"/>
    <col min="5622" max="5622" width="14.28515625" customWidth="1"/>
    <col min="5623" max="5623" width="8.42578125" customWidth="1"/>
    <col min="5624" max="5624" width="6.7109375" customWidth="1"/>
    <col min="5625" max="5625" width="7.42578125" customWidth="1"/>
    <col min="5633" max="5633" width="4.42578125" customWidth="1"/>
    <col min="5634" max="5634" width="7.42578125" customWidth="1"/>
    <col min="5635" max="5635" width="6.7109375" customWidth="1"/>
    <col min="5636" max="5636" width="26.42578125" customWidth="1"/>
    <col min="5637" max="5637" width="17.5703125" customWidth="1"/>
    <col min="5638" max="5638" width="13" bestFit="1" customWidth="1"/>
    <col min="5639" max="5639" width="11.28515625" customWidth="1"/>
    <col min="5640" max="5640" width="14.28515625" customWidth="1"/>
    <col min="5641" max="5641" width="12.7109375" customWidth="1"/>
    <col min="5642" max="5643" width="0" hidden="1" customWidth="1"/>
    <col min="5644" max="5644" width="8.5703125" customWidth="1"/>
    <col min="5645" max="5645" width="14.7109375" bestFit="1" customWidth="1"/>
    <col min="5646" max="5646" width="13.7109375" customWidth="1"/>
    <col min="5647" max="5647" width="16.28515625" bestFit="1" customWidth="1"/>
    <col min="5648" max="5648" width="14.85546875" customWidth="1"/>
    <col min="5649" max="5649" width="12.140625" customWidth="1"/>
    <col min="5650" max="5651" width="11.42578125" bestFit="1" customWidth="1"/>
    <col min="5652" max="5653" width="9.7109375" customWidth="1"/>
    <col min="5654" max="5654" width="15.85546875" customWidth="1"/>
    <col min="5655" max="5655" width="14.7109375" customWidth="1"/>
    <col min="5656" max="5656" width="14.85546875" customWidth="1"/>
    <col min="5657" max="5657" width="22.42578125" customWidth="1"/>
    <col min="5658" max="5658" width="2.85546875" customWidth="1"/>
    <col min="5659" max="5659" width="12.140625" bestFit="1" customWidth="1"/>
    <col min="5660" max="5871" width="9.140625" customWidth="1"/>
    <col min="5872" max="5872" width="4.42578125" customWidth="1"/>
    <col min="5873" max="5873" width="21.5703125" customWidth="1"/>
    <col min="5874" max="5874" width="17.28515625" customWidth="1"/>
    <col min="5875" max="5875" width="16.42578125" customWidth="1"/>
    <col min="5876" max="5876" width="9.85546875" customWidth="1"/>
    <col min="5877" max="5877" width="9.140625" customWidth="1"/>
    <col min="5878" max="5878" width="14.28515625" customWidth="1"/>
    <col min="5879" max="5879" width="8.42578125" customWidth="1"/>
    <col min="5880" max="5880" width="6.7109375" customWidth="1"/>
    <col min="5881" max="5881" width="7.42578125" customWidth="1"/>
    <col min="5889" max="5889" width="4.42578125" customWidth="1"/>
    <col min="5890" max="5890" width="7.42578125" customWidth="1"/>
    <col min="5891" max="5891" width="6.7109375" customWidth="1"/>
    <col min="5892" max="5892" width="26.42578125" customWidth="1"/>
    <col min="5893" max="5893" width="17.5703125" customWidth="1"/>
    <col min="5894" max="5894" width="13" bestFit="1" customWidth="1"/>
    <col min="5895" max="5895" width="11.28515625" customWidth="1"/>
    <col min="5896" max="5896" width="14.28515625" customWidth="1"/>
    <col min="5897" max="5897" width="12.7109375" customWidth="1"/>
    <col min="5898" max="5899" width="0" hidden="1" customWidth="1"/>
    <col min="5900" max="5900" width="8.5703125" customWidth="1"/>
    <col min="5901" max="5901" width="14.7109375" bestFit="1" customWidth="1"/>
    <col min="5902" max="5902" width="13.7109375" customWidth="1"/>
    <col min="5903" max="5903" width="16.28515625" bestFit="1" customWidth="1"/>
    <col min="5904" max="5904" width="14.85546875" customWidth="1"/>
    <col min="5905" max="5905" width="12.140625" customWidth="1"/>
    <col min="5906" max="5907" width="11.42578125" bestFit="1" customWidth="1"/>
    <col min="5908" max="5909" width="9.7109375" customWidth="1"/>
    <col min="5910" max="5910" width="15.85546875" customWidth="1"/>
    <col min="5911" max="5911" width="14.7109375" customWidth="1"/>
    <col min="5912" max="5912" width="14.85546875" customWidth="1"/>
    <col min="5913" max="5913" width="22.42578125" customWidth="1"/>
    <col min="5914" max="5914" width="2.85546875" customWidth="1"/>
    <col min="5915" max="5915" width="12.140625" bestFit="1" customWidth="1"/>
    <col min="5916" max="6127" width="9.140625" customWidth="1"/>
    <col min="6128" max="6128" width="4.42578125" customWidth="1"/>
    <col min="6129" max="6129" width="21.5703125" customWidth="1"/>
    <col min="6130" max="6130" width="17.28515625" customWidth="1"/>
    <col min="6131" max="6131" width="16.42578125" customWidth="1"/>
    <col min="6132" max="6132" width="9.85546875" customWidth="1"/>
    <col min="6133" max="6133" width="9.140625" customWidth="1"/>
    <col min="6134" max="6134" width="14.28515625" customWidth="1"/>
    <col min="6135" max="6135" width="8.42578125" customWidth="1"/>
    <col min="6136" max="6136" width="6.7109375" customWidth="1"/>
    <col min="6137" max="6137" width="7.42578125" customWidth="1"/>
    <col min="6145" max="6145" width="4.42578125" customWidth="1"/>
    <col min="6146" max="6146" width="7.42578125" customWidth="1"/>
    <col min="6147" max="6147" width="6.7109375" customWidth="1"/>
    <col min="6148" max="6148" width="26.42578125" customWidth="1"/>
    <col min="6149" max="6149" width="17.5703125" customWidth="1"/>
    <col min="6150" max="6150" width="13" bestFit="1" customWidth="1"/>
    <col min="6151" max="6151" width="11.28515625" customWidth="1"/>
    <col min="6152" max="6152" width="14.28515625" customWidth="1"/>
    <col min="6153" max="6153" width="12.7109375" customWidth="1"/>
    <col min="6154" max="6155" width="0" hidden="1" customWidth="1"/>
    <col min="6156" max="6156" width="8.5703125" customWidth="1"/>
    <col min="6157" max="6157" width="14.7109375" bestFit="1" customWidth="1"/>
    <col min="6158" max="6158" width="13.7109375" customWidth="1"/>
    <col min="6159" max="6159" width="16.28515625" bestFit="1" customWidth="1"/>
    <col min="6160" max="6160" width="14.85546875" customWidth="1"/>
    <col min="6161" max="6161" width="12.140625" customWidth="1"/>
    <col min="6162" max="6163" width="11.42578125" bestFit="1" customWidth="1"/>
    <col min="6164" max="6165" width="9.7109375" customWidth="1"/>
    <col min="6166" max="6166" width="15.85546875" customWidth="1"/>
    <col min="6167" max="6167" width="14.7109375" customWidth="1"/>
    <col min="6168" max="6168" width="14.85546875" customWidth="1"/>
    <col min="6169" max="6169" width="22.42578125" customWidth="1"/>
    <col min="6170" max="6170" width="2.85546875" customWidth="1"/>
    <col min="6171" max="6171" width="12.140625" bestFit="1" customWidth="1"/>
    <col min="6172" max="6383" width="9.140625" customWidth="1"/>
    <col min="6384" max="6384" width="4.42578125" customWidth="1"/>
    <col min="6385" max="6385" width="21.5703125" customWidth="1"/>
    <col min="6386" max="6386" width="17.28515625" customWidth="1"/>
    <col min="6387" max="6387" width="16.42578125" customWidth="1"/>
    <col min="6388" max="6388" width="9.85546875" customWidth="1"/>
    <col min="6389" max="6389" width="9.140625" customWidth="1"/>
    <col min="6390" max="6390" width="14.28515625" customWidth="1"/>
    <col min="6391" max="6391" width="8.42578125" customWidth="1"/>
    <col min="6392" max="6392" width="6.7109375" customWidth="1"/>
    <col min="6393" max="6393" width="7.42578125" customWidth="1"/>
    <col min="6401" max="6401" width="4.42578125" customWidth="1"/>
    <col min="6402" max="6402" width="7.42578125" customWidth="1"/>
    <col min="6403" max="6403" width="6.7109375" customWidth="1"/>
    <col min="6404" max="6404" width="26.42578125" customWidth="1"/>
    <col min="6405" max="6405" width="17.5703125" customWidth="1"/>
    <col min="6406" max="6406" width="13" bestFit="1" customWidth="1"/>
    <col min="6407" max="6407" width="11.28515625" customWidth="1"/>
    <col min="6408" max="6408" width="14.28515625" customWidth="1"/>
    <col min="6409" max="6409" width="12.7109375" customWidth="1"/>
    <col min="6410" max="6411" width="0" hidden="1" customWidth="1"/>
    <col min="6412" max="6412" width="8.5703125" customWidth="1"/>
    <col min="6413" max="6413" width="14.7109375" bestFit="1" customWidth="1"/>
    <col min="6414" max="6414" width="13.7109375" customWidth="1"/>
    <col min="6415" max="6415" width="16.28515625" bestFit="1" customWidth="1"/>
    <col min="6416" max="6416" width="14.85546875" customWidth="1"/>
    <col min="6417" max="6417" width="12.140625" customWidth="1"/>
    <col min="6418" max="6419" width="11.42578125" bestFit="1" customWidth="1"/>
    <col min="6420" max="6421" width="9.7109375" customWidth="1"/>
    <col min="6422" max="6422" width="15.85546875" customWidth="1"/>
    <col min="6423" max="6423" width="14.7109375" customWidth="1"/>
    <col min="6424" max="6424" width="14.85546875" customWidth="1"/>
    <col min="6425" max="6425" width="22.42578125" customWidth="1"/>
    <col min="6426" max="6426" width="2.85546875" customWidth="1"/>
    <col min="6427" max="6427" width="12.140625" bestFit="1" customWidth="1"/>
    <col min="6428" max="6639" width="9.140625" customWidth="1"/>
    <col min="6640" max="6640" width="4.42578125" customWidth="1"/>
    <col min="6641" max="6641" width="21.5703125" customWidth="1"/>
    <col min="6642" max="6642" width="17.28515625" customWidth="1"/>
    <col min="6643" max="6643" width="16.42578125" customWidth="1"/>
    <col min="6644" max="6644" width="9.85546875" customWidth="1"/>
    <col min="6645" max="6645" width="9.140625" customWidth="1"/>
    <col min="6646" max="6646" width="14.28515625" customWidth="1"/>
    <col min="6647" max="6647" width="8.42578125" customWidth="1"/>
    <col min="6648" max="6648" width="6.7109375" customWidth="1"/>
    <col min="6649" max="6649" width="7.42578125" customWidth="1"/>
    <col min="6657" max="6657" width="4.42578125" customWidth="1"/>
    <col min="6658" max="6658" width="7.42578125" customWidth="1"/>
    <col min="6659" max="6659" width="6.7109375" customWidth="1"/>
    <col min="6660" max="6660" width="26.42578125" customWidth="1"/>
    <col min="6661" max="6661" width="17.5703125" customWidth="1"/>
    <col min="6662" max="6662" width="13" bestFit="1" customWidth="1"/>
    <col min="6663" max="6663" width="11.28515625" customWidth="1"/>
    <col min="6664" max="6664" width="14.28515625" customWidth="1"/>
    <col min="6665" max="6665" width="12.7109375" customWidth="1"/>
    <col min="6666" max="6667" width="0" hidden="1" customWidth="1"/>
    <col min="6668" max="6668" width="8.5703125" customWidth="1"/>
    <col min="6669" max="6669" width="14.7109375" bestFit="1" customWidth="1"/>
    <col min="6670" max="6670" width="13.7109375" customWidth="1"/>
    <col min="6671" max="6671" width="16.28515625" bestFit="1" customWidth="1"/>
    <col min="6672" max="6672" width="14.85546875" customWidth="1"/>
    <col min="6673" max="6673" width="12.140625" customWidth="1"/>
    <col min="6674" max="6675" width="11.42578125" bestFit="1" customWidth="1"/>
    <col min="6676" max="6677" width="9.7109375" customWidth="1"/>
    <col min="6678" max="6678" width="15.85546875" customWidth="1"/>
    <col min="6679" max="6679" width="14.7109375" customWidth="1"/>
    <col min="6680" max="6680" width="14.85546875" customWidth="1"/>
    <col min="6681" max="6681" width="22.42578125" customWidth="1"/>
    <col min="6682" max="6682" width="2.85546875" customWidth="1"/>
    <col min="6683" max="6683" width="12.140625" bestFit="1" customWidth="1"/>
    <col min="6684" max="6895" width="9.140625" customWidth="1"/>
    <col min="6896" max="6896" width="4.42578125" customWidth="1"/>
    <col min="6897" max="6897" width="21.5703125" customWidth="1"/>
    <col min="6898" max="6898" width="17.28515625" customWidth="1"/>
    <col min="6899" max="6899" width="16.42578125" customWidth="1"/>
    <col min="6900" max="6900" width="9.85546875" customWidth="1"/>
    <col min="6901" max="6901" width="9.140625" customWidth="1"/>
    <col min="6902" max="6902" width="14.28515625" customWidth="1"/>
    <col min="6903" max="6903" width="8.42578125" customWidth="1"/>
    <col min="6904" max="6904" width="6.7109375" customWidth="1"/>
    <col min="6905" max="6905" width="7.42578125" customWidth="1"/>
    <col min="6913" max="6913" width="4.42578125" customWidth="1"/>
    <col min="6914" max="6914" width="7.42578125" customWidth="1"/>
    <col min="6915" max="6915" width="6.7109375" customWidth="1"/>
    <col min="6916" max="6916" width="26.42578125" customWidth="1"/>
    <col min="6917" max="6917" width="17.5703125" customWidth="1"/>
    <col min="6918" max="6918" width="13" bestFit="1" customWidth="1"/>
    <col min="6919" max="6919" width="11.28515625" customWidth="1"/>
    <col min="6920" max="6920" width="14.28515625" customWidth="1"/>
    <col min="6921" max="6921" width="12.7109375" customWidth="1"/>
    <col min="6922" max="6923" width="0" hidden="1" customWidth="1"/>
    <col min="6924" max="6924" width="8.5703125" customWidth="1"/>
    <col min="6925" max="6925" width="14.7109375" bestFit="1" customWidth="1"/>
    <col min="6926" max="6926" width="13.7109375" customWidth="1"/>
    <col min="6927" max="6927" width="16.28515625" bestFit="1" customWidth="1"/>
    <col min="6928" max="6928" width="14.85546875" customWidth="1"/>
    <col min="6929" max="6929" width="12.140625" customWidth="1"/>
    <col min="6930" max="6931" width="11.42578125" bestFit="1" customWidth="1"/>
    <col min="6932" max="6933" width="9.7109375" customWidth="1"/>
    <col min="6934" max="6934" width="15.85546875" customWidth="1"/>
    <col min="6935" max="6935" width="14.7109375" customWidth="1"/>
    <col min="6936" max="6936" width="14.85546875" customWidth="1"/>
    <col min="6937" max="6937" width="22.42578125" customWidth="1"/>
    <col min="6938" max="6938" width="2.85546875" customWidth="1"/>
    <col min="6939" max="6939" width="12.140625" bestFit="1" customWidth="1"/>
    <col min="6940" max="7151" width="9.140625" customWidth="1"/>
    <col min="7152" max="7152" width="4.42578125" customWidth="1"/>
    <col min="7153" max="7153" width="21.5703125" customWidth="1"/>
    <col min="7154" max="7154" width="17.28515625" customWidth="1"/>
    <col min="7155" max="7155" width="16.42578125" customWidth="1"/>
    <col min="7156" max="7156" width="9.85546875" customWidth="1"/>
    <col min="7157" max="7157" width="9.140625" customWidth="1"/>
    <col min="7158" max="7158" width="14.28515625" customWidth="1"/>
    <col min="7159" max="7159" width="8.42578125" customWidth="1"/>
    <col min="7160" max="7160" width="6.7109375" customWidth="1"/>
    <col min="7161" max="7161" width="7.42578125" customWidth="1"/>
    <col min="7169" max="7169" width="4.42578125" customWidth="1"/>
    <col min="7170" max="7170" width="7.42578125" customWidth="1"/>
    <col min="7171" max="7171" width="6.7109375" customWidth="1"/>
    <col min="7172" max="7172" width="26.42578125" customWidth="1"/>
    <col min="7173" max="7173" width="17.5703125" customWidth="1"/>
    <col min="7174" max="7174" width="13" bestFit="1" customWidth="1"/>
    <col min="7175" max="7175" width="11.28515625" customWidth="1"/>
    <col min="7176" max="7176" width="14.28515625" customWidth="1"/>
    <col min="7177" max="7177" width="12.7109375" customWidth="1"/>
    <col min="7178" max="7179" width="0" hidden="1" customWidth="1"/>
    <col min="7180" max="7180" width="8.5703125" customWidth="1"/>
    <col min="7181" max="7181" width="14.7109375" bestFit="1" customWidth="1"/>
    <col min="7182" max="7182" width="13.7109375" customWidth="1"/>
    <col min="7183" max="7183" width="16.28515625" bestFit="1" customWidth="1"/>
    <col min="7184" max="7184" width="14.85546875" customWidth="1"/>
    <col min="7185" max="7185" width="12.140625" customWidth="1"/>
    <col min="7186" max="7187" width="11.42578125" bestFit="1" customWidth="1"/>
    <col min="7188" max="7189" width="9.7109375" customWidth="1"/>
    <col min="7190" max="7190" width="15.85546875" customWidth="1"/>
    <col min="7191" max="7191" width="14.7109375" customWidth="1"/>
    <col min="7192" max="7192" width="14.85546875" customWidth="1"/>
    <col min="7193" max="7193" width="22.42578125" customWidth="1"/>
    <col min="7194" max="7194" width="2.85546875" customWidth="1"/>
    <col min="7195" max="7195" width="12.140625" bestFit="1" customWidth="1"/>
    <col min="7196" max="7407" width="9.140625" customWidth="1"/>
    <col min="7408" max="7408" width="4.42578125" customWidth="1"/>
    <col min="7409" max="7409" width="21.5703125" customWidth="1"/>
    <col min="7410" max="7410" width="17.28515625" customWidth="1"/>
    <col min="7411" max="7411" width="16.42578125" customWidth="1"/>
    <col min="7412" max="7412" width="9.85546875" customWidth="1"/>
    <col min="7413" max="7413" width="9.140625" customWidth="1"/>
    <col min="7414" max="7414" width="14.28515625" customWidth="1"/>
    <col min="7415" max="7415" width="8.42578125" customWidth="1"/>
    <col min="7416" max="7416" width="6.7109375" customWidth="1"/>
    <col min="7417" max="7417" width="7.42578125" customWidth="1"/>
    <col min="7425" max="7425" width="4.42578125" customWidth="1"/>
    <col min="7426" max="7426" width="7.42578125" customWidth="1"/>
    <col min="7427" max="7427" width="6.7109375" customWidth="1"/>
    <col min="7428" max="7428" width="26.42578125" customWidth="1"/>
    <col min="7429" max="7429" width="17.5703125" customWidth="1"/>
    <col min="7430" max="7430" width="13" bestFit="1" customWidth="1"/>
    <col min="7431" max="7431" width="11.28515625" customWidth="1"/>
    <col min="7432" max="7432" width="14.28515625" customWidth="1"/>
    <col min="7433" max="7433" width="12.7109375" customWidth="1"/>
    <col min="7434" max="7435" width="0" hidden="1" customWidth="1"/>
    <col min="7436" max="7436" width="8.5703125" customWidth="1"/>
    <col min="7437" max="7437" width="14.7109375" bestFit="1" customWidth="1"/>
    <col min="7438" max="7438" width="13.7109375" customWidth="1"/>
    <col min="7439" max="7439" width="16.28515625" bestFit="1" customWidth="1"/>
    <col min="7440" max="7440" width="14.85546875" customWidth="1"/>
    <col min="7441" max="7441" width="12.140625" customWidth="1"/>
    <col min="7442" max="7443" width="11.42578125" bestFit="1" customWidth="1"/>
    <col min="7444" max="7445" width="9.7109375" customWidth="1"/>
    <col min="7446" max="7446" width="15.85546875" customWidth="1"/>
    <col min="7447" max="7447" width="14.7109375" customWidth="1"/>
    <col min="7448" max="7448" width="14.85546875" customWidth="1"/>
    <col min="7449" max="7449" width="22.42578125" customWidth="1"/>
    <col min="7450" max="7450" width="2.85546875" customWidth="1"/>
    <col min="7451" max="7451" width="12.140625" bestFit="1" customWidth="1"/>
    <col min="7452" max="7663" width="9.140625" customWidth="1"/>
    <col min="7664" max="7664" width="4.42578125" customWidth="1"/>
    <col min="7665" max="7665" width="21.5703125" customWidth="1"/>
    <col min="7666" max="7666" width="17.28515625" customWidth="1"/>
    <col min="7667" max="7667" width="16.42578125" customWidth="1"/>
    <col min="7668" max="7668" width="9.85546875" customWidth="1"/>
    <col min="7669" max="7669" width="9.140625" customWidth="1"/>
    <col min="7670" max="7670" width="14.28515625" customWidth="1"/>
    <col min="7671" max="7671" width="8.42578125" customWidth="1"/>
    <col min="7672" max="7672" width="6.7109375" customWidth="1"/>
    <col min="7673" max="7673" width="7.42578125" customWidth="1"/>
    <col min="7681" max="7681" width="4.42578125" customWidth="1"/>
    <col min="7682" max="7682" width="7.42578125" customWidth="1"/>
    <col min="7683" max="7683" width="6.7109375" customWidth="1"/>
    <col min="7684" max="7684" width="26.42578125" customWidth="1"/>
    <col min="7685" max="7685" width="17.5703125" customWidth="1"/>
    <col min="7686" max="7686" width="13" bestFit="1" customWidth="1"/>
    <col min="7687" max="7687" width="11.28515625" customWidth="1"/>
    <col min="7688" max="7688" width="14.28515625" customWidth="1"/>
    <col min="7689" max="7689" width="12.7109375" customWidth="1"/>
    <col min="7690" max="7691" width="0" hidden="1" customWidth="1"/>
    <col min="7692" max="7692" width="8.5703125" customWidth="1"/>
    <col min="7693" max="7693" width="14.7109375" bestFit="1" customWidth="1"/>
    <col min="7694" max="7694" width="13.7109375" customWidth="1"/>
    <col min="7695" max="7695" width="16.28515625" bestFit="1" customWidth="1"/>
    <col min="7696" max="7696" width="14.85546875" customWidth="1"/>
    <col min="7697" max="7697" width="12.140625" customWidth="1"/>
    <col min="7698" max="7699" width="11.42578125" bestFit="1" customWidth="1"/>
    <col min="7700" max="7701" width="9.7109375" customWidth="1"/>
    <col min="7702" max="7702" width="15.85546875" customWidth="1"/>
    <col min="7703" max="7703" width="14.7109375" customWidth="1"/>
    <col min="7704" max="7704" width="14.85546875" customWidth="1"/>
    <col min="7705" max="7705" width="22.42578125" customWidth="1"/>
    <col min="7706" max="7706" width="2.85546875" customWidth="1"/>
    <col min="7707" max="7707" width="12.140625" bestFit="1" customWidth="1"/>
    <col min="7708" max="7919" width="9.140625" customWidth="1"/>
    <col min="7920" max="7920" width="4.42578125" customWidth="1"/>
    <col min="7921" max="7921" width="21.5703125" customWidth="1"/>
    <col min="7922" max="7922" width="17.28515625" customWidth="1"/>
    <col min="7923" max="7923" width="16.42578125" customWidth="1"/>
    <col min="7924" max="7924" width="9.85546875" customWidth="1"/>
    <col min="7925" max="7925" width="9.140625" customWidth="1"/>
    <col min="7926" max="7926" width="14.28515625" customWidth="1"/>
    <col min="7927" max="7927" width="8.42578125" customWidth="1"/>
    <col min="7928" max="7928" width="6.7109375" customWidth="1"/>
    <col min="7929" max="7929" width="7.42578125" customWidth="1"/>
    <col min="7937" max="7937" width="4.42578125" customWidth="1"/>
    <col min="7938" max="7938" width="7.42578125" customWidth="1"/>
    <col min="7939" max="7939" width="6.7109375" customWidth="1"/>
    <col min="7940" max="7940" width="26.42578125" customWidth="1"/>
    <col min="7941" max="7941" width="17.5703125" customWidth="1"/>
    <col min="7942" max="7942" width="13" bestFit="1" customWidth="1"/>
    <col min="7943" max="7943" width="11.28515625" customWidth="1"/>
    <col min="7944" max="7944" width="14.28515625" customWidth="1"/>
    <col min="7945" max="7945" width="12.7109375" customWidth="1"/>
    <col min="7946" max="7947" width="0" hidden="1" customWidth="1"/>
    <col min="7948" max="7948" width="8.5703125" customWidth="1"/>
    <col min="7949" max="7949" width="14.7109375" bestFit="1" customWidth="1"/>
    <col min="7950" max="7950" width="13.7109375" customWidth="1"/>
    <col min="7951" max="7951" width="16.28515625" bestFit="1" customWidth="1"/>
    <col min="7952" max="7952" width="14.85546875" customWidth="1"/>
    <col min="7953" max="7953" width="12.140625" customWidth="1"/>
    <col min="7954" max="7955" width="11.42578125" bestFit="1" customWidth="1"/>
    <col min="7956" max="7957" width="9.7109375" customWidth="1"/>
    <col min="7958" max="7958" width="15.85546875" customWidth="1"/>
    <col min="7959" max="7959" width="14.7109375" customWidth="1"/>
    <col min="7960" max="7960" width="14.85546875" customWidth="1"/>
    <col min="7961" max="7961" width="22.42578125" customWidth="1"/>
    <col min="7962" max="7962" width="2.85546875" customWidth="1"/>
    <col min="7963" max="7963" width="12.140625" bestFit="1" customWidth="1"/>
    <col min="7964" max="8175" width="9.140625" customWidth="1"/>
    <col min="8176" max="8176" width="4.42578125" customWidth="1"/>
    <col min="8177" max="8177" width="21.5703125" customWidth="1"/>
    <col min="8178" max="8178" width="17.28515625" customWidth="1"/>
    <col min="8179" max="8179" width="16.42578125" customWidth="1"/>
    <col min="8180" max="8180" width="9.85546875" customWidth="1"/>
    <col min="8181" max="8181" width="9.140625" customWidth="1"/>
    <col min="8182" max="8182" width="14.28515625" customWidth="1"/>
    <col min="8183" max="8183" width="8.42578125" customWidth="1"/>
    <col min="8184" max="8184" width="6.7109375" customWidth="1"/>
    <col min="8185" max="8185" width="7.42578125" customWidth="1"/>
    <col min="8193" max="8193" width="4.42578125" customWidth="1"/>
    <col min="8194" max="8194" width="7.42578125" customWidth="1"/>
    <col min="8195" max="8195" width="6.7109375" customWidth="1"/>
    <col min="8196" max="8196" width="26.42578125" customWidth="1"/>
    <col min="8197" max="8197" width="17.5703125" customWidth="1"/>
    <col min="8198" max="8198" width="13" bestFit="1" customWidth="1"/>
    <col min="8199" max="8199" width="11.28515625" customWidth="1"/>
    <col min="8200" max="8200" width="14.28515625" customWidth="1"/>
    <col min="8201" max="8201" width="12.7109375" customWidth="1"/>
    <col min="8202" max="8203" width="0" hidden="1" customWidth="1"/>
    <col min="8204" max="8204" width="8.5703125" customWidth="1"/>
    <col min="8205" max="8205" width="14.7109375" bestFit="1" customWidth="1"/>
    <col min="8206" max="8206" width="13.7109375" customWidth="1"/>
    <col min="8207" max="8207" width="16.28515625" bestFit="1" customWidth="1"/>
    <col min="8208" max="8208" width="14.85546875" customWidth="1"/>
    <col min="8209" max="8209" width="12.140625" customWidth="1"/>
    <col min="8210" max="8211" width="11.42578125" bestFit="1" customWidth="1"/>
    <col min="8212" max="8213" width="9.7109375" customWidth="1"/>
    <col min="8214" max="8214" width="15.85546875" customWidth="1"/>
    <col min="8215" max="8215" width="14.7109375" customWidth="1"/>
    <col min="8216" max="8216" width="14.85546875" customWidth="1"/>
    <col min="8217" max="8217" width="22.42578125" customWidth="1"/>
    <col min="8218" max="8218" width="2.85546875" customWidth="1"/>
    <col min="8219" max="8219" width="12.140625" bestFit="1" customWidth="1"/>
    <col min="8220" max="8431" width="9.140625" customWidth="1"/>
    <col min="8432" max="8432" width="4.42578125" customWidth="1"/>
    <col min="8433" max="8433" width="21.5703125" customWidth="1"/>
    <col min="8434" max="8434" width="17.28515625" customWidth="1"/>
    <col min="8435" max="8435" width="16.42578125" customWidth="1"/>
    <col min="8436" max="8436" width="9.85546875" customWidth="1"/>
    <col min="8437" max="8437" width="9.140625" customWidth="1"/>
    <col min="8438" max="8438" width="14.28515625" customWidth="1"/>
    <col min="8439" max="8439" width="8.42578125" customWidth="1"/>
    <col min="8440" max="8440" width="6.7109375" customWidth="1"/>
    <col min="8441" max="8441" width="7.42578125" customWidth="1"/>
    <col min="8449" max="8449" width="4.42578125" customWidth="1"/>
    <col min="8450" max="8450" width="7.42578125" customWidth="1"/>
    <col min="8451" max="8451" width="6.7109375" customWidth="1"/>
    <col min="8452" max="8452" width="26.42578125" customWidth="1"/>
    <col min="8453" max="8453" width="17.5703125" customWidth="1"/>
    <col min="8454" max="8454" width="13" bestFit="1" customWidth="1"/>
    <col min="8455" max="8455" width="11.28515625" customWidth="1"/>
    <col min="8456" max="8456" width="14.28515625" customWidth="1"/>
    <col min="8457" max="8457" width="12.7109375" customWidth="1"/>
    <col min="8458" max="8459" width="0" hidden="1" customWidth="1"/>
    <col min="8460" max="8460" width="8.5703125" customWidth="1"/>
    <col min="8461" max="8461" width="14.7109375" bestFit="1" customWidth="1"/>
    <col min="8462" max="8462" width="13.7109375" customWidth="1"/>
    <col min="8463" max="8463" width="16.28515625" bestFit="1" customWidth="1"/>
    <col min="8464" max="8464" width="14.85546875" customWidth="1"/>
    <col min="8465" max="8465" width="12.140625" customWidth="1"/>
    <col min="8466" max="8467" width="11.42578125" bestFit="1" customWidth="1"/>
    <col min="8468" max="8469" width="9.7109375" customWidth="1"/>
    <col min="8470" max="8470" width="15.85546875" customWidth="1"/>
    <col min="8471" max="8471" width="14.7109375" customWidth="1"/>
    <col min="8472" max="8472" width="14.85546875" customWidth="1"/>
    <col min="8473" max="8473" width="22.42578125" customWidth="1"/>
    <col min="8474" max="8474" width="2.85546875" customWidth="1"/>
    <col min="8475" max="8475" width="12.140625" bestFit="1" customWidth="1"/>
    <col min="8476" max="8687" width="9.140625" customWidth="1"/>
    <col min="8688" max="8688" width="4.42578125" customWidth="1"/>
    <col min="8689" max="8689" width="21.5703125" customWidth="1"/>
    <col min="8690" max="8690" width="17.28515625" customWidth="1"/>
    <col min="8691" max="8691" width="16.42578125" customWidth="1"/>
    <col min="8692" max="8692" width="9.85546875" customWidth="1"/>
    <col min="8693" max="8693" width="9.140625" customWidth="1"/>
    <col min="8694" max="8694" width="14.28515625" customWidth="1"/>
    <col min="8695" max="8695" width="8.42578125" customWidth="1"/>
    <col min="8696" max="8696" width="6.7109375" customWidth="1"/>
    <col min="8697" max="8697" width="7.42578125" customWidth="1"/>
    <col min="8705" max="8705" width="4.42578125" customWidth="1"/>
    <col min="8706" max="8706" width="7.42578125" customWidth="1"/>
    <col min="8707" max="8707" width="6.7109375" customWidth="1"/>
    <col min="8708" max="8708" width="26.42578125" customWidth="1"/>
    <col min="8709" max="8709" width="17.5703125" customWidth="1"/>
    <col min="8710" max="8710" width="13" bestFit="1" customWidth="1"/>
    <col min="8711" max="8711" width="11.28515625" customWidth="1"/>
    <col min="8712" max="8712" width="14.28515625" customWidth="1"/>
    <col min="8713" max="8713" width="12.7109375" customWidth="1"/>
    <col min="8714" max="8715" width="0" hidden="1" customWidth="1"/>
    <col min="8716" max="8716" width="8.5703125" customWidth="1"/>
    <col min="8717" max="8717" width="14.7109375" bestFit="1" customWidth="1"/>
    <col min="8718" max="8718" width="13.7109375" customWidth="1"/>
    <col min="8719" max="8719" width="16.28515625" bestFit="1" customWidth="1"/>
    <col min="8720" max="8720" width="14.85546875" customWidth="1"/>
    <col min="8721" max="8721" width="12.140625" customWidth="1"/>
    <col min="8722" max="8723" width="11.42578125" bestFit="1" customWidth="1"/>
    <col min="8724" max="8725" width="9.7109375" customWidth="1"/>
    <col min="8726" max="8726" width="15.85546875" customWidth="1"/>
    <col min="8727" max="8727" width="14.7109375" customWidth="1"/>
    <col min="8728" max="8728" width="14.85546875" customWidth="1"/>
    <col min="8729" max="8729" width="22.42578125" customWidth="1"/>
    <col min="8730" max="8730" width="2.85546875" customWidth="1"/>
    <col min="8731" max="8731" width="12.140625" bestFit="1" customWidth="1"/>
    <col min="8732" max="8943" width="9.140625" customWidth="1"/>
    <col min="8944" max="8944" width="4.42578125" customWidth="1"/>
    <col min="8945" max="8945" width="21.5703125" customWidth="1"/>
    <col min="8946" max="8946" width="17.28515625" customWidth="1"/>
    <col min="8947" max="8947" width="16.42578125" customWidth="1"/>
    <col min="8948" max="8948" width="9.85546875" customWidth="1"/>
    <col min="8949" max="8949" width="9.140625" customWidth="1"/>
    <col min="8950" max="8950" width="14.28515625" customWidth="1"/>
    <col min="8951" max="8951" width="8.42578125" customWidth="1"/>
    <col min="8952" max="8952" width="6.7109375" customWidth="1"/>
    <col min="8953" max="8953" width="7.42578125" customWidth="1"/>
    <col min="8961" max="8961" width="4.42578125" customWidth="1"/>
    <col min="8962" max="8962" width="7.42578125" customWidth="1"/>
    <col min="8963" max="8963" width="6.7109375" customWidth="1"/>
    <col min="8964" max="8964" width="26.42578125" customWidth="1"/>
    <col min="8965" max="8965" width="17.5703125" customWidth="1"/>
    <col min="8966" max="8966" width="13" bestFit="1" customWidth="1"/>
    <col min="8967" max="8967" width="11.28515625" customWidth="1"/>
    <col min="8968" max="8968" width="14.28515625" customWidth="1"/>
    <col min="8969" max="8969" width="12.7109375" customWidth="1"/>
    <col min="8970" max="8971" width="0" hidden="1" customWidth="1"/>
    <col min="8972" max="8972" width="8.5703125" customWidth="1"/>
    <col min="8973" max="8973" width="14.7109375" bestFit="1" customWidth="1"/>
    <col min="8974" max="8974" width="13.7109375" customWidth="1"/>
    <col min="8975" max="8975" width="16.28515625" bestFit="1" customWidth="1"/>
    <col min="8976" max="8976" width="14.85546875" customWidth="1"/>
    <col min="8977" max="8977" width="12.140625" customWidth="1"/>
    <col min="8978" max="8979" width="11.42578125" bestFit="1" customWidth="1"/>
    <col min="8980" max="8981" width="9.7109375" customWidth="1"/>
    <col min="8982" max="8982" width="15.85546875" customWidth="1"/>
    <col min="8983" max="8983" width="14.7109375" customWidth="1"/>
    <col min="8984" max="8984" width="14.85546875" customWidth="1"/>
    <col min="8985" max="8985" width="22.42578125" customWidth="1"/>
    <col min="8986" max="8986" width="2.85546875" customWidth="1"/>
    <col min="8987" max="8987" width="12.140625" bestFit="1" customWidth="1"/>
    <col min="8988" max="9199" width="9.140625" customWidth="1"/>
    <col min="9200" max="9200" width="4.42578125" customWidth="1"/>
    <col min="9201" max="9201" width="21.5703125" customWidth="1"/>
    <col min="9202" max="9202" width="17.28515625" customWidth="1"/>
    <col min="9203" max="9203" width="16.42578125" customWidth="1"/>
    <col min="9204" max="9204" width="9.85546875" customWidth="1"/>
    <col min="9205" max="9205" width="9.140625" customWidth="1"/>
    <col min="9206" max="9206" width="14.28515625" customWidth="1"/>
    <col min="9207" max="9207" width="8.42578125" customWidth="1"/>
    <col min="9208" max="9208" width="6.7109375" customWidth="1"/>
    <col min="9209" max="9209" width="7.42578125" customWidth="1"/>
    <col min="9217" max="9217" width="4.42578125" customWidth="1"/>
    <col min="9218" max="9218" width="7.42578125" customWidth="1"/>
    <col min="9219" max="9219" width="6.7109375" customWidth="1"/>
    <col min="9220" max="9220" width="26.42578125" customWidth="1"/>
    <col min="9221" max="9221" width="17.5703125" customWidth="1"/>
    <col min="9222" max="9222" width="13" bestFit="1" customWidth="1"/>
    <col min="9223" max="9223" width="11.28515625" customWidth="1"/>
    <col min="9224" max="9224" width="14.28515625" customWidth="1"/>
    <col min="9225" max="9225" width="12.7109375" customWidth="1"/>
    <col min="9226" max="9227" width="0" hidden="1" customWidth="1"/>
    <col min="9228" max="9228" width="8.5703125" customWidth="1"/>
    <col min="9229" max="9229" width="14.7109375" bestFit="1" customWidth="1"/>
    <col min="9230" max="9230" width="13.7109375" customWidth="1"/>
    <col min="9231" max="9231" width="16.28515625" bestFit="1" customWidth="1"/>
    <col min="9232" max="9232" width="14.85546875" customWidth="1"/>
    <col min="9233" max="9233" width="12.140625" customWidth="1"/>
    <col min="9234" max="9235" width="11.42578125" bestFit="1" customWidth="1"/>
    <col min="9236" max="9237" width="9.7109375" customWidth="1"/>
    <col min="9238" max="9238" width="15.85546875" customWidth="1"/>
    <col min="9239" max="9239" width="14.7109375" customWidth="1"/>
    <col min="9240" max="9240" width="14.85546875" customWidth="1"/>
    <col min="9241" max="9241" width="22.42578125" customWidth="1"/>
    <col min="9242" max="9242" width="2.85546875" customWidth="1"/>
    <col min="9243" max="9243" width="12.140625" bestFit="1" customWidth="1"/>
    <col min="9244" max="9455" width="9.140625" customWidth="1"/>
    <col min="9456" max="9456" width="4.42578125" customWidth="1"/>
    <col min="9457" max="9457" width="21.5703125" customWidth="1"/>
    <col min="9458" max="9458" width="17.28515625" customWidth="1"/>
    <col min="9459" max="9459" width="16.42578125" customWidth="1"/>
    <col min="9460" max="9460" width="9.85546875" customWidth="1"/>
    <col min="9461" max="9461" width="9.140625" customWidth="1"/>
    <col min="9462" max="9462" width="14.28515625" customWidth="1"/>
    <col min="9463" max="9463" width="8.42578125" customWidth="1"/>
    <col min="9464" max="9464" width="6.7109375" customWidth="1"/>
    <col min="9465" max="9465" width="7.42578125" customWidth="1"/>
    <col min="9473" max="9473" width="4.42578125" customWidth="1"/>
    <col min="9474" max="9474" width="7.42578125" customWidth="1"/>
    <col min="9475" max="9475" width="6.7109375" customWidth="1"/>
    <col min="9476" max="9476" width="26.42578125" customWidth="1"/>
    <col min="9477" max="9477" width="17.5703125" customWidth="1"/>
    <col min="9478" max="9478" width="13" bestFit="1" customWidth="1"/>
    <col min="9479" max="9479" width="11.28515625" customWidth="1"/>
    <col min="9480" max="9480" width="14.28515625" customWidth="1"/>
    <col min="9481" max="9481" width="12.7109375" customWidth="1"/>
    <col min="9482" max="9483" width="0" hidden="1" customWidth="1"/>
    <col min="9484" max="9484" width="8.5703125" customWidth="1"/>
    <col min="9485" max="9485" width="14.7109375" bestFit="1" customWidth="1"/>
    <col min="9486" max="9486" width="13.7109375" customWidth="1"/>
    <col min="9487" max="9487" width="16.28515625" bestFit="1" customWidth="1"/>
    <col min="9488" max="9488" width="14.85546875" customWidth="1"/>
    <col min="9489" max="9489" width="12.140625" customWidth="1"/>
    <col min="9490" max="9491" width="11.42578125" bestFit="1" customWidth="1"/>
    <col min="9492" max="9493" width="9.7109375" customWidth="1"/>
    <col min="9494" max="9494" width="15.85546875" customWidth="1"/>
    <col min="9495" max="9495" width="14.7109375" customWidth="1"/>
    <col min="9496" max="9496" width="14.85546875" customWidth="1"/>
    <col min="9497" max="9497" width="22.42578125" customWidth="1"/>
    <col min="9498" max="9498" width="2.85546875" customWidth="1"/>
    <col min="9499" max="9499" width="12.140625" bestFit="1" customWidth="1"/>
    <col min="9500" max="9711" width="9.140625" customWidth="1"/>
    <col min="9712" max="9712" width="4.42578125" customWidth="1"/>
    <col min="9713" max="9713" width="21.5703125" customWidth="1"/>
    <col min="9714" max="9714" width="17.28515625" customWidth="1"/>
    <col min="9715" max="9715" width="16.42578125" customWidth="1"/>
    <col min="9716" max="9716" width="9.85546875" customWidth="1"/>
    <col min="9717" max="9717" width="9.140625" customWidth="1"/>
    <col min="9718" max="9718" width="14.28515625" customWidth="1"/>
    <col min="9719" max="9719" width="8.42578125" customWidth="1"/>
    <col min="9720" max="9720" width="6.7109375" customWidth="1"/>
    <col min="9721" max="9721" width="7.42578125" customWidth="1"/>
    <col min="9729" max="9729" width="4.42578125" customWidth="1"/>
    <col min="9730" max="9730" width="7.42578125" customWidth="1"/>
    <col min="9731" max="9731" width="6.7109375" customWidth="1"/>
    <col min="9732" max="9732" width="26.42578125" customWidth="1"/>
    <col min="9733" max="9733" width="17.5703125" customWidth="1"/>
    <col min="9734" max="9734" width="13" bestFit="1" customWidth="1"/>
    <col min="9735" max="9735" width="11.28515625" customWidth="1"/>
    <col min="9736" max="9736" width="14.28515625" customWidth="1"/>
    <col min="9737" max="9737" width="12.7109375" customWidth="1"/>
    <col min="9738" max="9739" width="0" hidden="1" customWidth="1"/>
    <col min="9740" max="9740" width="8.5703125" customWidth="1"/>
    <col min="9741" max="9741" width="14.7109375" bestFit="1" customWidth="1"/>
    <col min="9742" max="9742" width="13.7109375" customWidth="1"/>
    <col min="9743" max="9743" width="16.28515625" bestFit="1" customWidth="1"/>
    <col min="9744" max="9744" width="14.85546875" customWidth="1"/>
    <col min="9745" max="9745" width="12.140625" customWidth="1"/>
    <col min="9746" max="9747" width="11.42578125" bestFit="1" customWidth="1"/>
    <col min="9748" max="9749" width="9.7109375" customWidth="1"/>
    <col min="9750" max="9750" width="15.85546875" customWidth="1"/>
    <col min="9751" max="9751" width="14.7109375" customWidth="1"/>
    <col min="9752" max="9752" width="14.85546875" customWidth="1"/>
    <col min="9753" max="9753" width="22.42578125" customWidth="1"/>
    <col min="9754" max="9754" width="2.85546875" customWidth="1"/>
    <col min="9755" max="9755" width="12.140625" bestFit="1" customWidth="1"/>
    <col min="9756" max="9967" width="9.140625" customWidth="1"/>
    <col min="9968" max="9968" width="4.42578125" customWidth="1"/>
    <col min="9969" max="9969" width="21.5703125" customWidth="1"/>
    <col min="9970" max="9970" width="17.28515625" customWidth="1"/>
    <col min="9971" max="9971" width="16.42578125" customWidth="1"/>
    <col min="9972" max="9972" width="9.85546875" customWidth="1"/>
    <col min="9973" max="9973" width="9.140625" customWidth="1"/>
    <col min="9974" max="9974" width="14.28515625" customWidth="1"/>
    <col min="9975" max="9975" width="8.42578125" customWidth="1"/>
    <col min="9976" max="9976" width="6.7109375" customWidth="1"/>
    <col min="9977" max="9977" width="7.42578125" customWidth="1"/>
    <col min="9985" max="9985" width="4.42578125" customWidth="1"/>
    <col min="9986" max="9986" width="7.42578125" customWidth="1"/>
    <col min="9987" max="9987" width="6.7109375" customWidth="1"/>
    <col min="9988" max="9988" width="26.42578125" customWidth="1"/>
    <col min="9989" max="9989" width="17.5703125" customWidth="1"/>
    <col min="9990" max="9990" width="13" bestFit="1" customWidth="1"/>
    <col min="9991" max="9991" width="11.28515625" customWidth="1"/>
    <col min="9992" max="9992" width="14.28515625" customWidth="1"/>
    <col min="9993" max="9993" width="12.7109375" customWidth="1"/>
    <col min="9994" max="9995" width="0" hidden="1" customWidth="1"/>
    <col min="9996" max="9996" width="8.5703125" customWidth="1"/>
    <col min="9997" max="9997" width="14.7109375" bestFit="1" customWidth="1"/>
    <col min="9998" max="9998" width="13.7109375" customWidth="1"/>
    <col min="9999" max="9999" width="16.28515625" bestFit="1" customWidth="1"/>
    <col min="10000" max="10000" width="14.85546875" customWidth="1"/>
    <col min="10001" max="10001" width="12.140625" customWidth="1"/>
    <col min="10002" max="10003" width="11.42578125" bestFit="1" customWidth="1"/>
    <col min="10004" max="10005" width="9.7109375" customWidth="1"/>
    <col min="10006" max="10006" width="15.85546875" customWidth="1"/>
    <col min="10007" max="10007" width="14.7109375" customWidth="1"/>
    <col min="10008" max="10008" width="14.85546875" customWidth="1"/>
    <col min="10009" max="10009" width="22.42578125" customWidth="1"/>
    <col min="10010" max="10010" width="2.85546875" customWidth="1"/>
    <col min="10011" max="10011" width="12.140625" bestFit="1" customWidth="1"/>
    <col min="10012" max="10223" width="9.140625" customWidth="1"/>
    <col min="10224" max="10224" width="4.42578125" customWidth="1"/>
    <col min="10225" max="10225" width="21.5703125" customWidth="1"/>
    <col min="10226" max="10226" width="17.28515625" customWidth="1"/>
    <col min="10227" max="10227" width="16.42578125" customWidth="1"/>
    <col min="10228" max="10228" width="9.85546875" customWidth="1"/>
    <col min="10229" max="10229" width="9.140625" customWidth="1"/>
    <col min="10230" max="10230" width="14.28515625" customWidth="1"/>
    <col min="10231" max="10231" width="8.42578125" customWidth="1"/>
    <col min="10232" max="10232" width="6.7109375" customWidth="1"/>
    <col min="10233" max="10233" width="7.42578125" customWidth="1"/>
    <col min="10241" max="10241" width="4.42578125" customWidth="1"/>
    <col min="10242" max="10242" width="7.42578125" customWidth="1"/>
    <col min="10243" max="10243" width="6.7109375" customWidth="1"/>
    <col min="10244" max="10244" width="26.42578125" customWidth="1"/>
    <col min="10245" max="10245" width="17.5703125" customWidth="1"/>
    <col min="10246" max="10246" width="13" bestFit="1" customWidth="1"/>
    <col min="10247" max="10247" width="11.28515625" customWidth="1"/>
    <col min="10248" max="10248" width="14.28515625" customWidth="1"/>
    <col min="10249" max="10249" width="12.7109375" customWidth="1"/>
    <col min="10250" max="10251" width="0" hidden="1" customWidth="1"/>
    <col min="10252" max="10252" width="8.5703125" customWidth="1"/>
    <col min="10253" max="10253" width="14.7109375" bestFit="1" customWidth="1"/>
    <col min="10254" max="10254" width="13.7109375" customWidth="1"/>
    <col min="10255" max="10255" width="16.28515625" bestFit="1" customWidth="1"/>
    <col min="10256" max="10256" width="14.85546875" customWidth="1"/>
    <col min="10257" max="10257" width="12.140625" customWidth="1"/>
    <col min="10258" max="10259" width="11.42578125" bestFit="1" customWidth="1"/>
    <col min="10260" max="10261" width="9.7109375" customWidth="1"/>
    <col min="10262" max="10262" width="15.85546875" customWidth="1"/>
    <col min="10263" max="10263" width="14.7109375" customWidth="1"/>
    <col min="10264" max="10264" width="14.85546875" customWidth="1"/>
    <col min="10265" max="10265" width="22.42578125" customWidth="1"/>
    <col min="10266" max="10266" width="2.85546875" customWidth="1"/>
    <col min="10267" max="10267" width="12.140625" bestFit="1" customWidth="1"/>
    <col min="10268" max="10479" width="9.140625" customWidth="1"/>
    <col min="10480" max="10480" width="4.42578125" customWidth="1"/>
    <col min="10481" max="10481" width="21.5703125" customWidth="1"/>
    <col min="10482" max="10482" width="17.28515625" customWidth="1"/>
    <col min="10483" max="10483" width="16.42578125" customWidth="1"/>
    <col min="10484" max="10484" width="9.85546875" customWidth="1"/>
    <col min="10485" max="10485" width="9.140625" customWidth="1"/>
    <col min="10486" max="10486" width="14.28515625" customWidth="1"/>
    <col min="10487" max="10487" width="8.42578125" customWidth="1"/>
    <col min="10488" max="10488" width="6.7109375" customWidth="1"/>
    <col min="10489" max="10489" width="7.42578125" customWidth="1"/>
    <col min="10497" max="10497" width="4.42578125" customWidth="1"/>
    <col min="10498" max="10498" width="7.42578125" customWidth="1"/>
    <col min="10499" max="10499" width="6.7109375" customWidth="1"/>
    <col min="10500" max="10500" width="26.42578125" customWidth="1"/>
    <col min="10501" max="10501" width="17.5703125" customWidth="1"/>
    <col min="10502" max="10502" width="13" bestFit="1" customWidth="1"/>
    <col min="10503" max="10503" width="11.28515625" customWidth="1"/>
    <col min="10504" max="10504" width="14.28515625" customWidth="1"/>
    <col min="10505" max="10505" width="12.7109375" customWidth="1"/>
    <col min="10506" max="10507" width="0" hidden="1" customWidth="1"/>
    <col min="10508" max="10508" width="8.5703125" customWidth="1"/>
    <col min="10509" max="10509" width="14.7109375" bestFit="1" customWidth="1"/>
    <col min="10510" max="10510" width="13.7109375" customWidth="1"/>
    <col min="10511" max="10511" width="16.28515625" bestFit="1" customWidth="1"/>
    <col min="10512" max="10512" width="14.85546875" customWidth="1"/>
    <col min="10513" max="10513" width="12.140625" customWidth="1"/>
    <col min="10514" max="10515" width="11.42578125" bestFit="1" customWidth="1"/>
    <col min="10516" max="10517" width="9.7109375" customWidth="1"/>
    <col min="10518" max="10518" width="15.85546875" customWidth="1"/>
    <col min="10519" max="10519" width="14.7109375" customWidth="1"/>
    <col min="10520" max="10520" width="14.85546875" customWidth="1"/>
    <col min="10521" max="10521" width="22.42578125" customWidth="1"/>
    <col min="10522" max="10522" width="2.85546875" customWidth="1"/>
    <col min="10523" max="10523" width="12.140625" bestFit="1" customWidth="1"/>
    <col min="10524" max="10735" width="9.140625" customWidth="1"/>
    <col min="10736" max="10736" width="4.42578125" customWidth="1"/>
    <col min="10737" max="10737" width="21.5703125" customWidth="1"/>
    <col min="10738" max="10738" width="17.28515625" customWidth="1"/>
    <col min="10739" max="10739" width="16.42578125" customWidth="1"/>
    <col min="10740" max="10740" width="9.85546875" customWidth="1"/>
    <col min="10741" max="10741" width="9.140625" customWidth="1"/>
    <col min="10742" max="10742" width="14.28515625" customWidth="1"/>
    <col min="10743" max="10743" width="8.42578125" customWidth="1"/>
    <col min="10744" max="10744" width="6.7109375" customWidth="1"/>
    <col min="10745" max="10745" width="7.42578125" customWidth="1"/>
    <col min="10753" max="10753" width="4.42578125" customWidth="1"/>
    <col min="10754" max="10754" width="7.42578125" customWidth="1"/>
    <col min="10755" max="10755" width="6.7109375" customWidth="1"/>
    <col min="10756" max="10756" width="26.42578125" customWidth="1"/>
    <col min="10757" max="10757" width="17.5703125" customWidth="1"/>
    <col min="10758" max="10758" width="13" bestFit="1" customWidth="1"/>
    <col min="10759" max="10759" width="11.28515625" customWidth="1"/>
    <col min="10760" max="10760" width="14.28515625" customWidth="1"/>
    <col min="10761" max="10761" width="12.7109375" customWidth="1"/>
    <col min="10762" max="10763" width="0" hidden="1" customWidth="1"/>
    <col min="10764" max="10764" width="8.5703125" customWidth="1"/>
    <col min="10765" max="10765" width="14.7109375" bestFit="1" customWidth="1"/>
    <col min="10766" max="10766" width="13.7109375" customWidth="1"/>
    <col min="10767" max="10767" width="16.28515625" bestFit="1" customWidth="1"/>
    <col min="10768" max="10768" width="14.85546875" customWidth="1"/>
    <col min="10769" max="10769" width="12.140625" customWidth="1"/>
    <col min="10770" max="10771" width="11.42578125" bestFit="1" customWidth="1"/>
    <col min="10772" max="10773" width="9.7109375" customWidth="1"/>
    <col min="10774" max="10774" width="15.85546875" customWidth="1"/>
    <col min="10775" max="10775" width="14.7109375" customWidth="1"/>
    <col min="10776" max="10776" width="14.85546875" customWidth="1"/>
    <col min="10777" max="10777" width="22.42578125" customWidth="1"/>
    <col min="10778" max="10778" width="2.85546875" customWidth="1"/>
    <col min="10779" max="10779" width="12.140625" bestFit="1" customWidth="1"/>
    <col min="10780" max="10991" width="9.140625" customWidth="1"/>
    <col min="10992" max="10992" width="4.42578125" customWidth="1"/>
    <col min="10993" max="10993" width="21.5703125" customWidth="1"/>
    <col min="10994" max="10994" width="17.28515625" customWidth="1"/>
    <col min="10995" max="10995" width="16.42578125" customWidth="1"/>
    <col min="10996" max="10996" width="9.85546875" customWidth="1"/>
    <col min="10997" max="10997" width="9.140625" customWidth="1"/>
    <col min="10998" max="10998" width="14.28515625" customWidth="1"/>
    <col min="10999" max="10999" width="8.42578125" customWidth="1"/>
    <col min="11000" max="11000" width="6.7109375" customWidth="1"/>
    <col min="11001" max="11001" width="7.42578125" customWidth="1"/>
    <col min="11009" max="11009" width="4.42578125" customWidth="1"/>
    <col min="11010" max="11010" width="7.42578125" customWidth="1"/>
    <col min="11011" max="11011" width="6.7109375" customWidth="1"/>
    <col min="11012" max="11012" width="26.42578125" customWidth="1"/>
    <col min="11013" max="11013" width="17.5703125" customWidth="1"/>
    <col min="11014" max="11014" width="13" bestFit="1" customWidth="1"/>
    <col min="11015" max="11015" width="11.28515625" customWidth="1"/>
    <col min="11016" max="11016" width="14.28515625" customWidth="1"/>
    <col min="11017" max="11017" width="12.7109375" customWidth="1"/>
    <col min="11018" max="11019" width="0" hidden="1" customWidth="1"/>
    <col min="11020" max="11020" width="8.5703125" customWidth="1"/>
    <col min="11021" max="11021" width="14.7109375" bestFit="1" customWidth="1"/>
    <col min="11022" max="11022" width="13.7109375" customWidth="1"/>
    <col min="11023" max="11023" width="16.28515625" bestFit="1" customWidth="1"/>
    <col min="11024" max="11024" width="14.85546875" customWidth="1"/>
    <col min="11025" max="11025" width="12.140625" customWidth="1"/>
    <col min="11026" max="11027" width="11.42578125" bestFit="1" customWidth="1"/>
    <col min="11028" max="11029" width="9.7109375" customWidth="1"/>
    <col min="11030" max="11030" width="15.85546875" customWidth="1"/>
    <col min="11031" max="11031" width="14.7109375" customWidth="1"/>
    <col min="11032" max="11032" width="14.85546875" customWidth="1"/>
    <col min="11033" max="11033" width="22.42578125" customWidth="1"/>
    <col min="11034" max="11034" width="2.85546875" customWidth="1"/>
    <col min="11035" max="11035" width="12.140625" bestFit="1" customWidth="1"/>
    <col min="11036" max="11247" width="9.140625" customWidth="1"/>
    <col min="11248" max="11248" width="4.42578125" customWidth="1"/>
    <col min="11249" max="11249" width="21.5703125" customWidth="1"/>
    <col min="11250" max="11250" width="17.28515625" customWidth="1"/>
    <col min="11251" max="11251" width="16.42578125" customWidth="1"/>
    <col min="11252" max="11252" width="9.85546875" customWidth="1"/>
    <col min="11253" max="11253" width="9.140625" customWidth="1"/>
    <col min="11254" max="11254" width="14.28515625" customWidth="1"/>
    <col min="11255" max="11255" width="8.42578125" customWidth="1"/>
    <col min="11256" max="11256" width="6.7109375" customWidth="1"/>
    <col min="11257" max="11257" width="7.42578125" customWidth="1"/>
    <col min="11265" max="11265" width="4.42578125" customWidth="1"/>
    <col min="11266" max="11266" width="7.42578125" customWidth="1"/>
    <col min="11267" max="11267" width="6.7109375" customWidth="1"/>
    <col min="11268" max="11268" width="26.42578125" customWidth="1"/>
    <col min="11269" max="11269" width="17.5703125" customWidth="1"/>
    <col min="11270" max="11270" width="13" bestFit="1" customWidth="1"/>
    <col min="11271" max="11271" width="11.28515625" customWidth="1"/>
    <col min="11272" max="11272" width="14.28515625" customWidth="1"/>
    <col min="11273" max="11273" width="12.7109375" customWidth="1"/>
    <col min="11274" max="11275" width="0" hidden="1" customWidth="1"/>
    <col min="11276" max="11276" width="8.5703125" customWidth="1"/>
    <col min="11277" max="11277" width="14.7109375" bestFit="1" customWidth="1"/>
    <col min="11278" max="11278" width="13.7109375" customWidth="1"/>
    <col min="11279" max="11279" width="16.28515625" bestFit="1" customWidth="1"/>
    <col min="11280" max="11280" width="14.85546875" customWidth="1"/>
    <col min="11281" max="11281" width="12.140625" customWidth="1"/>
    <col min="11282" max="11283" width="11.42578125" bestFit="1" customWidth="1"/>
    <col min="11284" max="11285" width="9.7109375" customWidth="1"/>
    <col min="11286" max="11286" width="15.85546875" customWidth="1"/>
    <col min="11287" max="11287" width="14.7109375" customWidth="1"/>
    <col min="11288" max="11288" width="14.85546875" customWidth="1"/>
    <col min="11289" max="11289" width="22.42578125" customWidth="1"/>
    <col min="11290" max="11290" width="2.85546875" customWidth="1"/>
    <col min="11291" max="11291" width="12.140625" bestFit="1" customWidth="1"/>
    <col min="11292" max="11503" width="9.140625" customWidth="1"/>
    <col min="11504" max="11504" width="4.42578125" customWidth="1"/>
    <col min="11505" max="11505" width="21.5703125" customWidth="1"/>
    <col min="11506" max="11506" width="17.28515625" customWidth="1"/>
    <col min="11507" max="11507" width="16.42578125" customWidth="1"/>
    <col min="11508" max="11508" width="9.85546875" customWidth="1"/>
    <col min="11509" max="11509" width="9.140625" customWidth="1"/>
    <col min="11510" max="11510" width="14.28515625" customWidth="1"/>
    <col min="11511" max="11511" width="8.42578125" customWidth="1"/>
    <col min="11512" max="11512" width="6.7109375" customWidth="1"/>
    <col min="11513" max="11513" width="7.42578125" customWidth="1"/>
    <col min="11521" max="11521" width="4.42578125" customWidth="1"/>
    <col min="11522" max="11522" width="7.42578125" customWidth="1"/>
    <col min="11523" max="11523" width="6.7109375" customWidth="1"/>
    <col min="11524" max="11524" width="26.42578125" customWidth="1"/>
    <col min="11525" max="11525" width="17.5703125" customWidth="1"/>
    <col min="11526" max="11526" width="13" bestFit="1" customWidth="1"/>
    <col min="11527" max="11527" width="11.28515625" customWidth="1"/>
    <col min="11528" max="11528" width="14.28515625" customWidth="1"/>
    <col min="11529" max="11529" width="12.7109375" customWidth="1"/>
    <col min="11530" max="11531" width="0" hidden="1" customWidth="1"/>
    <col min="11532" max="11532" width="8.5703125" customWidth="1"/>
    <col min="11533" max="11533" width="14.7109375" bestFit="1" customWidth="1"/>
    <col min="11534" max="11534" width="13.7109375" customWidth="1"/>
    <col min="11535" max="11535" width="16.28515625" bestFit="1" customWidth="1"/>
    <col min="11536" max="11536" width="14.85546875" customWidth="1"/>
    <col min="11537" max="11537" width="12.140625" customWidth="1"/>
    <col min="11538" max="11539" width="11.42578125" bestFit="1" customWidth="1"/>
    <col min="11540" max="11541" width="9.7109375" customWidth="1"/>
    <col min="11542" max="11542" width="15.85546875" customWidth="1"/>
    <col min="11543" max="11543" width="14.7109375" customWidth="1"/>
    <col min="11544" max="11544" width="14.85546875" customWidth="1"/>
    <col min="11545" max="11545" width="22.42578125" customWidth="1"/>
    <col min="11546" max="11546" width="2.85546875" customWidth="1"/>
    <col min="11547" max="11547" width="12.140625" bestFit="1" customWidth="1"/>
    <col min="11548" max="11759" width="9.140625" customWidth="1"/>
    <col min="11760" max="11760" width="4.42578125" customWidth="1"/>
    <col min="11761" max="11761" width="21.5703125" customWidth="1"/>
    <col min="11762" max="11762" width="17.28515625" customWidth="1"/>
    <col min="11763" max="11763" width="16.42578125" customWidth="1"/>
    <col min="11764" max="11764" width="9.85546875" customWidth="1"/>
    <col min="11765" max="11765" width="9.140625" customWidth="1"/>
    <col min="11766" max="11766" width="14.28515625" customWidth="1"/>
    <col min="11767" max="11767" width="8.42578125" customWidth="1"/>
    <col min="11768" max="11768" width="6.7109375" customWidth="1"/>
    <col min="11769" max="11769" width="7.42578125" customWidth="1"/>
    <col min="11777" max="11777" width="4.42578125" customWidth="1"/>
    <col min="11778" max="11778" width="7.42578125" customWidth="1"/>
    <col min="11779" max="11779" width="6.7109375" customWidth="1"/>
    <col min="11780" max="11780" width="26.42578125" customWidth="1"/>
    <col min="11781" max="11781" width="17.5703125" customWidth="1"/>
    <col min="11782" max="11782" width="13" bestFit="1" customWidth="1"/>
    <col min="11783" max="11783" width="11.28515625" customWidth="1"/>
    <col min="11784" max="11784" width="14.28515625" customWidth="1"/>
    <col min="11785" max="11785" width="12.7109375" customWidth="1"/>
    <col min="11786" max="11787" width="0" hidden="1" customWidth="1"/>
    <col min="11788" max="11788" width="8.5703125" customWidth="1"/>
    <col min="11789" max="11789" width="14.7109375" bestFit="1" customWidth="1"/>
    <col min="11790" max="11790" width="13.7109375" customWidth="1"/>
    <col min="11791" max="11791" width="16.28515625" bestFit="1" customWidth="1"/>
    <col min="11792" max="11792" width="14.85546875" customWidth="1"/>
    <col min="11793" max="11793" width="12.140625" customWidth="1"/>
    <col min="11794" max="11795" width="11.42578125" bestFit="1" customWidth="1"/>
    <col min="11796" max="11797" width="9.7109375" customWidth="1"/>
    <col min="11798" max="11798" width="15.85546875" customWidth="1"/>
    <col min="11799" max="11799" width="14.7109375" customWidth="1"/>
    <col min="11800" max="11800" width="14.85546875" customWidth="1"/>
    <col min="11801" max="11801" width="22.42578125" customWidth="1"/>
    <col min="11802" max="11802" width="2.85546875" customWidth="1"/>
    <col min="11803" max="11803" width="12.140625" bestFit="1" customWidth="1"/>
    <col min="11804" max="12015" width="9.140625" customWidth="1"/>
    <col min="12016" max="12016" width="4.42578125" customWidth="1"/>
    <col min="12017" max="12017" width="21.5703125" customWidth="1"/>
    <col min="12018" max="12018" width="17.28515625" customWidth="1"/>
    <col min="12019" max="12019" width="16.42578125" customWidth="1"/>
    <col min="12020" max="12020" width="9.85546875" customWidth="1"/>
    <col min="12021" max="12021" width="9.140625" customWidth="1"/>
    <col min="12022" max="12022" width="14.28515625" customWidth="1"/>
    <col min="12023" max="12023" width="8.42578125" customWidth="1"/>
    <col min="12024" max="12024" width="6.7109375" customWidth="1"/>
    <col min="12025" max="12025" width="7.42578125" customWidth="1"/>
    <col min="12033" max="12033" width="4.42578125" customWidth="1"/>
    <col min="12034" max="12034" width="7.42578125" customWidth="1"/>
    <col min="12035" max="12035" width="6.7109375" customWidth="1"/>
    <col min="12036" max="12036" width="26.42578125" customWidth="1"/>
    <col min="12037" max="12037" width="17.5703125" customWidth="1"/>
    <col min="12038" max="12038" width="13" bestFit="1" customWidth="1"/>
    <col min="12039" max="12039" width="11.28515625" customWidth="1"/>
    <col min="12040" max="12040" width="14.28515625" customWidth="1"/>
    <col min="12041" max="12041" width="12.7109375" customWidth="1"/>
    <col min="12042" max="12043" width="0" hidden="1" customWidth="1"/>
    <col min="12044" max="12044" width="8.5703125" customWidth="1"/>
    <col min="12045" max="12045" width="14.7109375" bestFit="1" customWidth="1"/>
    <col min="12046" max="12046" width="13.7109375" customWidth="1"/>
    <col min="12047" max="12047" width="16.28515625" bestFit="1" customWidth="1"/>
    <col min="12048" max="12048" width="14.85546875" customWidth="1"/>
    <col min="12049" max="12049" width="12.140625" customWidth="1"/>
    <col min="12050" max="12051" width="11.42578125" bestFit="1" customWidth="1"/>
    <col min="12052" max="12053" width="9.7109375" customWidth="1"/>
    <col min="12054" max="12054" width="15.85546875" customWidth="1"/>
    <col min="12055" max="12055" width="14.7109375" customWidth="1"/>
    <col min="12056" max="12056" width="14.85546875" customWidth="1"/>
    <col min="12057" max="12057" width="22.42578125" customWidth="1"/>
    <col min="12058" max="12058" width="2.85546875" customWidth="1"/>
    <col min="12059" max="12059" width="12.140625" bestFit="1" customWidth="1"/>
    <col min="12060" max="12271" width="9.140625" customWidth="1"/>
    <col min="12272" max="12272" width="4.42578125" customWidth="1"/>
    <col min="12273" max="12273" width="21.5703125" customWidth="1"/>
    <col min="12274" max="12274" width="17.28515625" customWidth="1"/>
    <col min="12275" max="12275" width="16.42578125" customWidth="1"/>
    <col min="12276" max="12276" width="9.85546875" customWidth="1"/>
    <col min="12277" max="12277" width="9.140625" customWidth="1"/>
    <col min="12278" max="12278" width="14.28515625" customWidth="1"/>
    <col min="12279" max="12279" width="8.42578125" customWidth="1"/>
    <col min="12280" max="12280" width="6.7109375" customWidth="1"/>
    <col min="12281" max="12281" width="7.42578125" customWidth="1"/>
    <col min="12289" max="12289" width="4.42578125" customWidth="1"/>
    <col min="12290" max="12290" width="7.42578125" customWidth="1"/>
    <col min="12291" max="12291" width="6.7109375" customWidth="1"/>
    <col min="12292" max="12292" width="26.42578125" customWidth="1"/>
    <col min="12293" max="12293" width="17.5703125" customWidth="1"/>
    <col min="12294" max="12294" width="13" bestFit="1" customWidth="1"/>
    <col min="12295" max="12295" width="11.28515625" customWidth="1"/>
    <col min="12296" max="12296" width="14.28515625" customWidth="1"/>
    <col min="12297" max="12297" width="12.7109375" customWidth="1"/>
    <col min="12298" max="12299" width="0" hidden="1" customWidth="1"/>
    <col min="12300" max="12300" width="8.5703125" customWidth="1"/>
    <col min="12301" max="12301" width="14.7109375" bestFit="1" customWidth="1"/>
    <col min="12302" max="12302" width="13.7109375" customWidth="1"/>
    <col min="12303" max="12303" width="16.28515625" bestFit="1" customWidth="1"/>
    <col min="12304" max="12304" width="14.85546875" customWidth="1"/>
    <col min="12305" max="12305" width="12.140625" customWidth="1"/>
    <col min="12306" max="12307" width="11.42578125" bestFit="1" customWidth="1"/>
    <col min="12308" max="12309" width="9.7109375" customWidth="1"/>
    <col min="12310" max="12310" width="15.85546875" customWidth="1"/>
    <col min="12311" max="12311" width="14.7109375" customWidth="1"/>
    <col min="12312" max="12312" width="14.85546875" customWidth="1"/>
    <col min="12313" max="12313" width="22.42578125" customWidth="1"/>
    <col min="12314" max="12314" width="2.85546875" customWidth="1"/>
    <col min="12315" max="12315" width="12.140625" bestFit="1" customWidth="1"/>
    <col min="12316" max="12527" width="9.140625" customWidth="1"/>
    <col min="12528" max="12528" width="4.42578125" customWidth="1"/>
    <col min="12529" max="12529" width="21.5703125" customWidth="1"/>
    <col min="12530" max="12530" width="17.28515625" customWidth="1"/>
    <col min="12531" max="12531" width="16.42578125" customWidth="1"/>
    <col min="12532" max="12532" width="9.85546875" customWidth="1"/>
    <col min="12533" max="12533" width="9.140625" customWidth="1"/>
    <col min="12534" max="12534" width="14.28515625" customWidth="1"/>
    <col min="12535" max="12535" width="8.42578125" customWidth="1"/>
    <col min="12536" max="12536" width="6.7109375" customWidth="1"/>
    <col min="12537" max="12537" width="7.42578125" customWidth="1"/>
    <col min="12545" max="12545" width="4.42578125" customWidth="1"/>
    <col min="12546" max="12546" width="7.42578125" customWidth="1"/>
    <col min="12547" max="12547" width="6.7109375" customWidth="1"/>
    <col min="12548" max="12548" width="26.42578125" customWidth="1"/>
    <col min="12549" max="12549" width="17.5703125" customWidth="1"/>
    <col min="12550" max="12550" width="13" bestFit="1" customWidth="1"/>
    <col min="12551" max="12551" width="11.28515625" customWidth="1"/>
    <col min="12552" max="12552" width="14.28515625" customWidth="1"/>
    <col min="12553" max="12553" width="12.7109375" customWidth="1"/>
    <col min="12554" max="12555" width="0" hidden="1" customWidth="1"/>
    <col min="12556" max="12556" width="8.5703125" customWidth="1"/>
    <col min="12557" max="12557" width="14.7109375" bestFit="1" customWidth="1"/>
    <col min="12558" max="12558" width="13.7109375" customWidth="1"/>
    <col min="12559" max="12559" width="16.28515625" bestFit="1" customWidth="1"/>
    <col min="12560" max="12560" width="14.85546875" customWidth="1"/>
    <col min="12561" max="12561" width="12.140625" customWidth="1"/>
    <col min="12562" max="12563" width="11.42578125" bestFit="1" customWidth="1"/>
    <col min="12564" max="12565" width="9.7109375" customWidth="1"/>
    <col min="12566" max="12566" width="15.85546875" customWidth="1"/>
    <col min="12567" max="12567" width="14.7109375" customWidth="1"/>
    <col min="12568" max="12568" width="14.85546875" customWidth="1"/>
    <col min="12569" max="12569" width="22.42578125" customWidth="1"/>
    <col min="12570" max="12570" width="2.85546875" customWidth="1"/>
    <col min="12571" max="12571" width="12.140625" bestFit="1" customWidth="1"/>
    <col min="12572" max="12783" width="9.140625" customWidth="1"/>
    <col min="12784" max="12784" width="4.42578125" customWidth="1"/>
    <col min="12785" max="12785" width="21.5703125" customWidth="1"/>
    <col min="12786" max="12786" width="17.28515625" customWidth="1"/>
    <col min="12787" max="12787" width="16.42578125" customWidth="1"/>
    <col min="12788" max="12788" width="9.85546875" customWidth="1"/>
    <col min="12789" max="12789" width="9.140625" customWidth="1"/>
    <col min="12790" max="12790" width="14.28515625" customWidth="1"/>
    <col min="12791" max="12791" width="8.42578125" customWidth="1"/>
    <col min="12792" max="12792" width="6.7109375" customWidth="1"/>
    <col min="12793" max="12793" width="7.42578125" customWidth="1"/>
    <col min="12801" max="12801" width="4.42578125" customWidth="1"/>
    <col min="12802" max="12802" width="7.42578125" customWidth="1"/>
    <col min="12803" max="12803" width="6.7109375" customWidth="1"/>
    <col min="12804" max="12804" width="26.42578125" customWidth="1"/>
    <col min="12805" max="12805" width="17.5703125" customWidth="1"/>
    <col min="12806" max="12806" width="13" bestFit="1" customWidth="1"/>
    <col min="12807" max="12807" width="11.28515625" customWidth="1"/>
    <col min="12808" max="12808" width="14.28515625" customWidth="1"/>
    <col min="12809" max="12809" width="12.7109375" customWidth="1"/>
    <col min="12810" max="12811" width="0" hidden="1" customWidth="1"/>
    <col min="12812" max="12812" width="8.5703125" customWidth="1"/>
    <col min="12813" max="12813" width="14.7109375" bestFit="1" customWidth="1"/>
    <col min="12814" max="12814" width="13.7109375" customWidth="1"/>
    <col min="12815" max="12815" width="16.28515625" bestFit="1" customWidth="1"/>
    <col min="12816" max="12816" width="14.85546875" customWidth="1"/>
    <col min="12817" max="12817" width="12.140625" customWidth="1"/>
    <col min="12818" max="12819" width="11.42578125" bestFit="1" customWidth="1"/>
    <col min="12820" max="12821" width="9.7109375" customWidth="1"/>
    <col min="12822" max="12822" width="15.85546875" customWidth="1"/>
    <col min="12823" max="12823" width="14.7109375" customWidth="1"/>
    <col min="12824" max="12824" width="14.85546875" customWidth="1"/>
    <col min="12825" max="12825" width="22.42578125" customWidth="1"/>
    <col min="12826" max="12826" width="2.85546875" customWidth="1"/>
    <col min="12827" max="12827" width="12.140625" bestFit="1" customWidth="1"/>
    <col min="12828" max="13039" width="9.140625" customWidth="1"/>
    <col min="13040" max="13040" width="4.42578125" customWidth="1"/>
    <col min="13041" max="13041" width="21.5703125" customWidth="1"/>
    <col min="13042" max="13042" width="17.28515625" customWidth="1"/>
    <col min="13043" max="13043" width="16.42578125" customWidth="1"/>
    <col min="13044" max="13044" width="9.85546875" customWidth="1"/>
    <col min="13045" max="13045" width="9.140625" customWidth="1"/>
    <col min="13046" max="13046" width="14.28515625" customWidth="1"/>
    <col min="13047" max="13047" width="8.42578125" customWidth="1"/>
    <col min="13048" max="13048" width="6.7109375" customWidth="1"/>
    <col min="13049" max="13049" width="7.42578125" customWidth="1"/>
    <col min="13057" max="13057" width="4.42578125" customWidth="1"/>
    <col min="13058" max="13058" width="7.42578125" customWidth="1"/>
    <col min="13059" max="13059" width="6.7109375" customWidth="1"/>
    <col min="13060" max="13060" width="26.42578125" customWidth="1"/>
    <col min="13061" max="13061" width="17.5703125" customWidth="1"/>
    <col min="13062" max="13062" width="13" bestFit="1" customWidth="1"/>
    <col min="13063" max="13063" width="11.28515625" customWidth="1"/>
    <col min="13064" max="13064" width="14.28515625" customWidth="1"/>
    <col min="13065" max="13065" width="12.7109375" customWidth="1"/>
    <col min="13066" max="13067" width="0" hidden="1" customWidth="1"/>
    <col min="13068" max="13068" width="8.5703125" customWidth="1"/>
    <col min="13069" max="13069" width="14.7109375" bestFit="1" customWidth="1"/>
    <col min="13070" max="13070" width="13.7109375" customWidth="1"/>
    <col min="13071" max="13071" width="16.28515625" bestFit="1" customWidth="1"/>
    <col min="13072" max="13072" width="14.85546875" customWidth="1"/>
    <col min="13073" max="13073" width="12.140625" customWidth="1"/>
    <col min="13074" max="13075" width="11.42578125" bestFit="1" customWidth="1"/>
    <col min="13076" max="13077" width="9.7109375" customWidth="1"/>
    <col min="13078" max="13078" width="15.85546875" customWidth="1"/>
    <col min="13079" max="13079" width="14.7109375" customWidth="1"/>
    <col min="13080" max="13080" width="14.85546875" customWidth="1"/>
    <col min="13081" max="13081" width="22.42578125" customWidth="1"/>
    <col min="13082" max="13082" width="2.85546875" customWidth="1"/>
    <col min="13083" max="13083" width="12.140625" bestFit="1" customWidth="1"/>
    <col min="13084" max="13295" width="9.140625" customWidth="1"/>
    <col min="13296" max="13296" width="4.42578125" customWidth="1"/>
    <col min="13297" max="13297" width="21.5703125" customWidth="1"/>
    <col min="13298" max="13298" width="17.28515625" customWidth="1"/>
    <col min="13299" max="13299" width="16.42578125" customWidth="1"/>
    <col min="13300" max="13300" width="9.85546875" customWidth="1"/>
    <col min="13301" max="13301" width="9.140625" customWidth="1"/>
    <col min="13302" max="13302" width="14.28515625" customWidth="1"/>
    <col min="13303" max="13303" width="8.42578125" customWidth="1"/>
    <col min="13304" max="13304" width="6.7109375" customWidth="1"/>
    <col min="13305" max="13305" width="7.42578125" customWidth="1"/>
    <col min="13313" max="13313" width="4.42578125" customWidth="1"/>
    <col min="13314" max="13314" width="7.42578125" customWidth="1"/>
    <col min="13315" max="13315" width="6.7109375" customWidth="1"/>
    <col min="13316" max="13316" width="26.42578125" customWidth="1"/>
    <col min="13317" max="13317" width="17.5703125" customWidth="1"/>
    <col min="13318" max="13318" width="13" bestFit="1" customWidth="1"/>
    <col min="13319" max="13319" width="11.28515625" customWidth="1"/>
    <col min="13320" max="13320" width="14.28515625" customWidth="1"/>
    <col min="13321" max="13321" width="12.7109375" customWidth="1"/>
    <col min="13322" max="13323" width="0" hidden="1" customWidth="1"/>
    <col min="13324" max="13324" width="8.5703125" customWidth="1"/>
    <col min="13325" max="13325" width="14.7109375" bestFit="1" customWidth="1"/>
    <col min="13326" max="13326" width="13.7109375" customWidth="1"/>
    <col min="13327" max="13327" width="16.28515625" bestFit="1" customWidth="1"/>
    <col min="13328" max="13328" width="14.85546875" customWidth="1"/>
    <col min="13329" max="13329" width="12.140625" customWidth="1"/>
    <col min="13330" max="13331" width="11.42578125" bestFit="1" customWidth="1"/>
    <col min="13332" max="13333" width="9.7109375" customWidth="1"/>
    <col min="13334" max="13334" width="15.85546875" customWidth="1"/>
    <col min="13335" max="13335" width="14.7109375" customWidth="1"/>
    <col min="13336" max="13336" width="14.85546875" customWidth="1"/>
    <col min="13337" max="13337" width="22.42578125" customWidth="1"/>
    <col min="13338" max="13338" width="2.85546875" customWidth="1"/>
    <col min="13339" max="13339" width="12.140625" bestFit="1" customWidth="1"/>
    <col min="13340" max="13551" width="9.140625" customWidth="1"/>
    <col min="13552" max="13552" width="4.42578125" customWidth="1"/>
    <col min="13553" max="13553" width="21.5703125" customWidth="1"/>
    <col min="13554" max="13554" width="17.28515625" customWidth="1"/>
    <col min="13555" max="13555" width="16.42578125" customWidth="1"/>
    <col min="13556" max="13556" width="9.85546875" customWidth="1"/>
    <col min="13557" max="13557" width="9.140625" customWidth="1"/>
    <col min="13558" max="13558" width="14.28515625" customWidth="1"/>
    <col min="13559" max="13559" width="8.42578125" customWidth="1"/>
    <col min="13560" max="13560" width="6.7109375" customWidth="1"/>
    <col min="13561" max="13561" width="7.42578125" customWidth="1"/>
    <col min="13569" max="13569" width="4.42578125" customWidth="1"/>
    <col min="13570" max="13570" width="7.42578125" customWidth="1"/>
    <col min="13571" max="13571" width="6.7109375" customWidth="1"/>
    <col min="13572" max="13572" width="26.42578125" customWidth="1"/>
    <col min="13573" max="13573" width="17.5703125" customWidth="1"/>
    <col min="13574" max="13574" width="13" bestFit="1" customWidth="1"/>
    <col min="13575" max="13575" width="11.28515625" customWidth="1"/>
    <col min="13576" max="13576" width="14.28515625" customWidth="1"/>
    <col min="13577" max="13577" width="12.7109375" customWidth="1"/>
    <col min="13578" max="13579" width="0" hidden="1" customWidth="1"/>
    <col min="13580" max="13580" width="8.5703125" customWidth="1"/>
    <col min="13581" max="13581" width="14.7109375" bestFit="1" customWidth="1"/>
    <col min="13582" max="13582" width="13.7109375" customWidth="1"/>
    <col min="13583" max="13583" width="16.28515625" bestFit="1" customWidth="1"/>
    <col min="13584" max="13584" width="14.85546875" customWidth="1"/>
    <col min="13585" max="13585" width="12.140625" customWidth="1"/>
    <col min="13586" max="13587" width="11.42578125" bestFit="1" customWidth="1"/>
    <col min="13588" max="13589" width="9.7109375" customWidth="1"/>
    <col min="13590" max="13590" width="15.85546875" customWidth="1"/>
    <col min="13591" max="13591" width="14.7109375" customWidth="1"/>
    <col min="13592" max="13592" width="14.85546875" customWidth="1"/>
    <col min="13593" max="13593" width="22.42578125" customWidth="1"/>
    <col min="13594" max="13594" width="2.85546875" customWidth="1"/>
    <col min="13595" max="13595" width="12.140625" bestFit="1" customWidth="1"/>
    <col min="13596" max="13807" width="9.140625" customWidth="1"/>
    <col min="13808" max="13808" width="4.42578125" customWidth="1"/>
    <col min="13809" max="13809" width="21.5703125" customWidth="1"/>
    <col min="13810" max="13810" width="17.28515625" customWidth="1"/>
    <col min="13811" max="13811" width="16.42578125" customWidth="1"/>
    <col min="13812" max="13812" width="9.85546875" customWidth="1"/>
    <col min="13813" max="13813" width="9.140625" customWidth="1"/>
    <col min="13814" max="13814" width="14.28515625" customWidth="1"/>
    <col min="13815" max="13815" width="8.42578125" customWidth="1"/>
    <col min="13816" max="13816" width="6.7109375" customWidth="1"/>
    <col min="13817" max="13817" width="7.42578125" customWidth="1"/>
    <col min="13825" max="13825" width="4.42578125" customWidth="1"/>
    <col min="13826" max="13826" width="7.42578125" customWidth="1"/>
    <col min="13827" max="13827" width="6.7109375" customWidth="1"/>
    <col min="13828" max="13828" width="26.42578125" customWidth="1"/>
    <col min="13829" max="13829" width="17.5703125" customWidth="1"/>
    <col min="13830" max="13830" width="13" bestFit="1" customWidth="1"/>
    <col min="13831" max="13831" width="11.28515625" customWidth="1"/>
    <col min="13832" max="13832" width="14.28515625" customWidth="1"/>
    <col min="13833" max="13833" width="12.7109375" customWidth="1"/>
    <col min="13834" max="13835" width="0" hidden="1" customWidth="1"/>
    <col min="13836" max="13836" width="8.5703125" customWidth="1"/>
    <col min="13837" max="13837" width="14.7109375" bestFit="1" customWidth="1"/>
    <col min="13838" max="13838" width="13.7109375" customWidth="1"/>
    <col min="13839" max="13839" width="16.28515625" bestFit="1" customWidth="1"/>
    <col min="13840" max="13840" width="14.85546875" customWidth="1"/>
    <col min="13841" max="13841" width="12.140625" customWidth="1"/>
    <col min="13842" max="13843" width="11.42578125" bestFit="1" customWidth="1"/>
    <col min="13844" max="13845" width="9.7109375" customWidth="1"/>
    <col min="13846" max="13846" width="15.85546875" customWidth="1"/>
    <col min="13847" max="13847" width="14.7109375" customWidth="1"/>
    <col min="13848" max="13848" width="14.85546875" customWidth="1"/>
    <col min="13849" max="13849" width="22.42578125" customWidth="1"/>
    <col min="13850" max="13850" width="2.85546875" customWidth="1"/>
    <col min="13851" max="13851" width="12.140625" bestFit="1" customWidth="1"/>
    <col min="13852" max="14063" width="9.140625" customWidth="1"/>
    <col min="14064" max="14064" width="4.42578125" customWidth="1"/>
    <col min="14065" max="14065" width="21.5703125" customWidth="1"/>
    <col min="14066" max="14066" width="17.28515625" customWidth="1"/>
    <col min="14067" max="14067" width="16.42578125" customWidth="1"/>
    <col min="14068" max="14068" width="9.85546875" customWidth="1"/>
    <col min="14069" max="14069" width="9.140625" customWidth="1"/>
    <col min="14070" max="14070" width="14.28515625" customWidth="1"/>
    <col min="14071" max="14071" width="8.42578125" customWidth="1"/>
    <col min="14072" max="14072" width="6.7109375" customWidth="1"/>
    <col min="14073" max="14073" width="7.42578125" customWidth="1"/>
    <col min="14081" max="14081" width="4.42578125" customWidth="1"/>
    <col min="14082" max="14082" width="7.42578125" customWidth="1"/>
    <col min="14083" max="14083" width="6.7109375" customWidth="1"/>
    <col min="14084" max="14084" width="26.42578125" customWidth="1"/>
    <col min="14085" max="14085" width="17.5703125" customWidth="1"/>
    <col min="14086" max="14086" width="13" bestFit="1" customWidth="1"/>
    <col min="14087" max="14087" width="11.28515625" customWidth="1"/>
    <col min="14088" max="14088" width="14.28515625" customWidth="1"/>
    <col min="14089" max="14089" width="12.7109375" customWidth="1"/>
    <col min="14090" max="14091" width="0" hidden="1" customWidth="1"/>
    <col min="14092" max="14092" width="8.5703125" customWidth="1"/>
    <col min="14093" max="14093" width="14.7109375" bestFit="1" customWidth="1"/>
    <col min="14094" max="14094" width="13.7109375" customWidth="1"/>
    <col min="14095" max="14095" width="16.28515625" bestFit="1" customWidth="1"/>
    <col min="14096" max="14096" width="14.85546875" customWidth="1"/>
    <col min="14097" max="14097" width="12.140625" customWidth="1"/>
    <col min="14098" max="14099" width="11.42578125" bestFit="1" customWidth="1"/>
    <col min="14100" max="14101" width="9.7109375" customWidth="1"/>
    <col min="14102" max="14102" width="15.85546875" customWidth="1"/>
    <col min="14103" max="14103" width="14.7109375" customWidth="1"/>
    <col min="14104" max="14104" width="14.85546875" customWidth="1"/>
    <col min="14105" max="14105" width="22.42578125" customWidth="1"/>
    <col min="14106" max="14106" width="2.85546875" customWidth="1"/>
    <col min="14107" max="14107" width="12.140625" bestFit="1" customWidth="1"/>
    <col min="14108" max="14319" width="9.140625" customWidth="1"/>
    <col min="14320" max="14320" width="4.42578125" customWidth="1"/>
    <col min="14321" max="14321" width="21.5703125" customWidth="1"/>
    <col min="14322" max="14322" width="17.28515625" customWidth="1"/>
    <col min="14323" max="14323" width="16.42578125" customWidth="1"/>
    <col min="14324" max="14324" width="9.85546875" customWidth="1"/>
    <col min="14325" max="14325" width="9.140625" customWidth="1"/>
    <col min="14326" max="14326" width="14.28515625" customWidth="1"/>
    <col min="14327" max="14327" width="8.42578125" customWidth="1"/>
    <col min="14328" max="14328" width="6.7109375" customWidth="1"/>
    <col min="14329" max="14329" width="7.42578125" customWidth="1"/>
    <col min="14337" max="14337" width="4.42578125" customWidth="1"/>
    <col min="14338" max="14338" width="7.42578125" customWidth="1"/>
    <col min="14339" max="14339" width="6.7109375" customWidth="1"/>
    <col min="14340" max="14340" width="26.42578125" customWidth="1"/>
    <col min="14341" max="14341" width="17.5703125" customWidth="1"/>
    <col min="14342" max="14342" width="13" bestFit="1" customWidth="1"/>
    <col min="14343" max="14343" width="11.28515625" customWidth="1"/>
    <col min="14344" max="14344" width="14.28515625" customWidth="1"/>
    <col min="14345" max="14345" width="12.7109375" customWidth="1"/>
    <col min="14346" max="14347" width="0" hidden="1" customWidth="1"/>
    <col min="14348" max="14348" width="8.5703125" customWidth="1"/>
    <col min="14349" max="14349" width="14.7109375" bestFit="1" customWidth="1"/>
    <col min="14350" max="14350" width="13.7109375" customWidth="1"/>
    <col min="14351" max="14351" width="16.28515625" bestFit="1" customWidth="1"/>
    <col min="14352" max="14352" width="14.85546875" customWidth="1"/>
    <col min="14353" max="14353" width="12.140625" customWidth="1"/>
    <col min="14354" max="14355" width="11.42578125" bestFit="1" customWidth="1"/>
    <col min="14356" max="14357" width="9.7109375" customWidth="1"/>
    <col min="14358" max="14358" width="15.85546875" customWidth="1"/>
    <col min="14359" max="14359" width="14.7109375" customWidth="1"/>
    <col min="14360" max="14360" width="14.85546875" customWidth="1"/>
    <col min="14361" max="14361" width="22.42578125" customWidth="1"/>
    <col min="14362" max="14362" width="2.85546875" customWidth="1"/>
    <col min="14363" max="14363" width="12.140625" bestFit="1" customWidth="1"/>
    <col min="14364" max="14575" width="9.140625" customWidth="1"/>
    <col min="14576" max="14576" width="4.42578125" customWidth="1"/>
    <col min="14577" max="14577" width="21.5703125" customWidth="1"/>
    <col min="14578" max="14578" width="17.28515625" customWidth="1"/>
    <col min="14579" max="14579" width="16.42578125" customWidth="1"/>
    <col min="14580" max="14580" width="9.85546875" customWidth="1"/>
    <col min="14581" max="14581" width="9.140625" customWidth="1"/>
    <col min="14582" max="14582" width="14.28515625" customWidth="1"/>
    <col min="14583" max="14583" width="8.42578125" customWidth="1"/>
    <col min="14584" max="14584" width="6.7109375" customWidth="1"/>
    <col min="14585" max="14585" width="7.42578125" customWidth="1"/>
    <col min="14593" max="14593" width="4.42578125" customWidth="1"/>
    <col min="14594" max="14594" width="7.42578125" customWidth="1"/>
    <col min="14595" max="14595" width="6.7109375" customWidth="1"/>
    <col min="14596" max="14596" width="26.42578125" customWidth="1"/>
    <col min="14597" max="14597" width="17.5703125" customWidth="1"/>
    <col min="14598" max="14598" width="13" bestFit="1" customWidth="1"/>
    <col min="14599" max="14599" width="11.28515625" customWidth="1"/>
    <col min="14600" max="14600" width="14.28515625" customWidth="1"/>
    <col min="14601" max="14601" width="12.7109375" customWidth="1"/>
    <col min="14602" max="14603" width="0" hidden="1" customWidth="1"/>
    <col min="14604" max="14604" width="8.5703125" customWidth="1"/>
    <col min="14605" max="14605" width="14.7109375" bestFit="1" customWidth="1"/>
    <col min="14606" max="14606" width="13.7109375" customWidth="1"/>
    <col min="14607" max="14607" width="16.28515625" bestFit="1" customWidth="1"/>
    <col min="14608" max="14608" width="14.85546875" customWidth="1"/>
    <col min="14609" max="14609" width="12.140625" customWidth="1"/>
    <col min="14610" max="14611" width="11.42578125" bestFit="1" customWidth="1"/>
    <col min="14612" max="14613" width="9.7109375" customWidth="1"/>
    <col min="14614" max="14614" width="15.85546875" customWidth="1"/>
    <col min="14615" max="14615" width="14.7109375" customWidth="1"/>
    <col min="14616" max="14616" width="14.85546875" customWidth="1"/>
    <col min="14617" max="14617" width="22.42578125" customWidth="1"/>
    <col min="14618" max="14618" width="2.85546875" customWidth="1"/>
    <col min="14619" max="14619" width="12.140625" bestFit="1" customWidth="1"/>
    <col min="14620" max="14831" width="9.140625" customWidth="1"/>
    <col min="14832" max="14832" width="4.42578125" customWidth="1"/>
    <col min="14833" max="14833" width="21.5703125" customWidth="1"/>
    <col min="14834" max="14834" width="17.28515625" customWidth="1"/>
    <col min="14835" max="14835" width="16.42578125" customWidth="1"/>
    <col min="14836" max="14836" width="9.85546875" customWidth="1"/>
    <col min="14837" max="14837" width="9.140625" customWidth="1"/>
    <col min="14838" max="14838" width="14.28515625" customWidth="1"/>
    <col min="14839" max="14839" width="8.42578125" customWidth="1"/>
    <col min="14840" max="14840" width="6.7109375" customWidth="1"/>
    <col min="14841" max="14841" width="7.42578125" customWidth="1"/>
    <col min="14849" max="14849" width="4.42578125" customWidth="1"/>
    <col min="14850" max="14850" width="7.42578125" customWidth="1"/>
    <col min="14851" max="14851" width="6.7109375" customWidth="1"/>
    <col min="14852" max="14852" width="26.42578125" customWidth="1"/>
    <col min="14853" max="14853" width="17.5703125" customWidth="1"/>
    <col min="14854" max="14854" width="13" bestFit="1" customWidth="1"/>
    <col min="14855" max="14855" width="11.28515625" customWidth="1"/>
    <col min="14856" max="14856" width="14.28515625" customWidth="1"/>
    <col min="14857" max="14857" width="12.7109375" customWidth="1"/>
    <col min="14858" max="14859" width="0" hidden="1" customWidth="1"/>
    <col min="14860" max="14860" width="8.5703125" customWidth="1"/>
    <col min="14861" max="14861" width="14.7109375" bestFit="1" customWidth="1"/>
    <col min="14862" max="14862" width="13.7109375" customWidth="1"/>
    <col min="14863" max="14863" width="16.28515625" bestFit="1" customWidth="1"/>
    <col min="14864" max="14864" width="14.85546875" customWidth="1"/>
    <col min="14865" max="14865" width="12.140625" customWidth="1"/>
    <col min="14866" max="14867" width="11.42578125" bestFit="1" customWidth="1"/>
    <col min="14868" max="14869" width="9.7109375" customWidth="1"/>
    <col min="14870" max="14870" width="15.85546875" customWidth="1"/>
    <col min="14871" max="14871" width="14.7109375" customWidth="1"/>
    <col min="14872" max="14872" width="14.85546875" customWidth="1"/>
    <col min="14873" max="14873" width="22.42578125" customWidth="1"/>
    <col min="14874" max="14874" width="2.85546875" customWidth="1"/>
    <col min="14875" max="14875" width="12.140625" bestFit="1" customWidth="1"/>
    <col min="14876" max="15087" width="9.140625" customWidth="1"/>
    <col min="15088" max="15088" width="4.42578125" customWidth="1"/>
    <col min="15089" max="15089" width="21.5703125" customWidth="1"/>
    <col min="15090" max="15090" width="17.28515625" customWidth="1"/>
    <col min="15091" max="15091" width="16.42578125" customWidth="1"/>
    <col min="15092" max="15092" width="9.85546875" customWidth="1"/>
    <col min="15093" max="15093" width="9.140625" customWidth="1"/>
    <col min="15094" max="15094" width="14.28515625" customWidth="1"/>
    <col min="15095" max="15095" width="8.42578125" customWidth="1"/>
    <col min="15096" max="15096" width="6.7109375" customWidth="1"/>
    <col min="15097" max="15097" width="7.42578125" customWidth="1"/>
    <col min="15105" max="15105" width="4.42578125" customWidth="1"/>
    <col min="15106" max="15106" width="7.42578125" customWidth="1"/>
    <col min="15107" max="15107" width="6.7109375" customWidth="1"/>
    <col min="15108" max="15108" width="26.42578125" customWidth="1"/>
    <col min="15109" max="15109" width="17.5703125" customWidth="1"/>
    <col min="15110" max="15110" width="13" bestFit="1" customWidth="1"/>
    <col min="15111" max="15111" width="11.28515625" customWidth="1"/>
    <col min="15112" max="15112" width="14.28515625" customWidth="1"/>
    <col min="15113" max="15113" width="12.7109375" customWidth="1"/>
    <col min="15114" max="15115" width="0" hidden="1" customWidth="1"/>
    <col min="15116" max="15116" width="8.5703125" customWidth="1"/>
    <col min="15117" max="15117" width="14.7109375" bestFit="1" customWidth="1"/>
    <col min="15118" max="15118" width="13.7109375" customWidth="1"/>
    <col min="15119" max="15119" width="16.28515625" bestFit="1" customWidth="1"/>
    <col min="15120" max="15120" width="14.85546875" customWidth="1"/>
    <col min="15121" max="15121" width="12.140625" customWidth="1"/>
    <col min="15122" max="15123" width="11.42578125" bestFit="1" customWidth="1"/>
    <col min="15124" max="15125" width="9.7109375" customWidth="1"/>
    <col min="15126" max="15126" width="15.85546875" customWidth="1"/>
    <col min="15127" max="15127" width="14.7109375" customWidth="1"/>
    <col min="15128" max="15128" width="14.85546875" customWidth="1"/>
    <col min="15129" max="15129" width="22.42578125" customWidth="1"/>
    <col min="15130" max="15130" width="2.85546875" customWidth="1"/>
    <col min="15131" max="15131" width="12.140625" bestFit="1" customWidth="1"/>
    <col min="15132" max="15343" width="9.140625" customWidth="1"/>
    <col min="15344" max="15344" width="4.42578125" customWidth="1"/>
    <col min="15345" max="15345" width="21.5703125" customWidth="1"/>
    <col min="15346" max="15346" width="17.28515625" customWidth="1"/>
    <col min="15347" max="15347" width="16.42578125" customWidth="1"/>
    <col min="15348" max="15348" width="9.85546875" customWidth="1"/>
    <col min="15349" max="15349" width="9.140625" customWidth="1"/>
    <col min="15350" max="15350" width="14.28515625" customWidth="1"/>
    <col min="15351" max="15351" width="8.42578125" customWidth="1"/>
    <col min="15352" max="15352" width="6.7109375" customWidth="1"/>
    <col min="15353" max="15353" width="7.42578125" customWidth="1"/>
    <col min="15361" max="15361" width="4.42578125" customWidth="1"/>
    <col min="15362" max="15362" width="7.42578125" customWidth="1"/>
    <col min="15363" max="15363" width="6.7109375" customWidth="1"/>
    <col min="15364" max="15364" width="26.42578125" customWidth="1"/>
    <col min="15365" max="15365" width="17.5703125" customWidth="1"/>
    <col min="15366" max="15366" width="13" bestFit="1" customWidth="1"/>
    <col min="15367" max="15367" width="11.28515625" customWidth="1"/>
    <col min="15368" max="15368" width="14.28515625" customWidth="1"/>
    <col min="15369" max="15369" width="12.7109375" customWidth="1"/>
    <col min="15370" max="15371" width="0" hidden="1" customWidth="1"/>
    <col min="15372" max="15372" width="8.5703125" customWidth="1"/>
    <col min="15373" max="15373" width="14.7109375" bestFit="1" customWidth="1"/>
    <col min="15374" max="15374" width="13.7109375" customWidth="1"/>
    <col min="15375" max="15375" width="16.28515625" bestFit="1" customWidth="1"/>
    <col min="15376" max="15376" width="14.85546875" customWidth="1"/>
    <col min="15377" max="15377" width="12.140625" customWidth="1"/>
    <col min="15378" max="15379" width="11.42578125" bestFit="1" customWidth="1"/>
    <col min="15380" max="15381" width="9.7109375" customWidth="1"/>
    <col min="15382" max="15382" width="15.85546875" customWidth="1"/>
    <col min="15383" max="15383" width="14.7109375" customWidth="1"/>
    <col min="15384" max="15384" width="14.85546875" customWidth="1"/>
    <col min="15385" max="15385" width="22.42578125" customWidth="1"/>
    <col min="15386" max="15386" width="2.85546875" customWidth="1"/>
    <col min="15387" max="15387" width="12.140625" bestFit="1" customWidth="1"/>
    <col min="15388" max="15599" width="9.140625" customWidth="1"/>
    <col min="15600" max="15600" width="4.42578125" customWidth="1"/>
    <col min="15601" max="15601" width="21.5703125" customWidth="1"/>
    <col min="15602" max="15602" width="17.28515625" customWidth="1"/>
    <col min="15603" max="15603" width="16.42578125" customWidth="1"/>
    <col min="15604" max="15604" width="9.85546875" customWidth="1"/>
    <col min="15605" max="15605" width="9.140625" customWidth="1"/>
    <col min="15606" max="15606" width="14.28515625" customWidth="1"/>
    <col min="15607" max="15607" width="8.42578125" customWidth="1"/>
    <col min="15608" max="15608" width="6.7109375" customWidth="1"/>
    <col min="15609" max="15609" width="7.42578125" customWidth="1"/>
    <col min="15617" max="15617" width="4.42578125" customWidth="1"/>
    <col min="15618" max="15618" width="7.42578125" customWidth="1"/>
    <col min="15619" max="15619" width="6.7109375" customWidth="1"/>
    <col min="15620" max="15620" width="26.42578125" customWidth="1"/>
    <col min="15621" max="15621" width="17.5703125" customWidth="1"/>
    <col min="15622" max="15622" width="13" bestFit="1" customWidth="1"/>
    <col min="15623" max="15623" width="11.28515625" customWidth="1"/>
    <col min="15624" max="15624" width="14.28515625" customWidth="1"/>
    <col min="15625" max="15625" width="12.7109375" customWidth="1"/>
    <col min="15626" max="15627" width="0" hidden="1" customWidth="1"/>
    <col min="15628" max="15628" width="8.5703125" customWidth="1"/>
    <col min="15629" max="15629" width="14.7109375" bestFit="1" customWidth="1"/>
    <col min="15630" max="15630" width="13.7109375" customWidth="1"/>
    <col min="15631" max="15631" width="16.28515625" bestFit="1" customWidth="1"/>
    <col min="15632" max="15632" width="14.85546875" customWidth="1"/>
    <col min="15633" max="15633" width="12.140625" customWidth="1"/>
    <col min="15634" max="15635" width="11.42578125" bestFit="1" customWidth="1"/>
    <col min="15636" max="15637" width="9.7109375" customWidth="1"/>
    <col min="15638" max="15638" width="15.85546875" customWidth="1"/>
    <col min="15639" max="15639" width="14.7109375" customWidth="1"/>
    <col min="15640" max="15640" width="14.85546875" customWidth="1"/>
    <col min="15641" max="15641" width="22.42578125" customWidth="1"/>
    <col min="15642" max="15642" width="2.85546875" customWidth="1"/>
    <col min="15643" max="15643" width="12.140625" bestFit="1" customWidth="1"/>
    <col min="15644" max="15855" width="9.140625" customWidth="1"/>
    <col min="15856" max="15856" width="4.42578125" customWidth="1"/>
    <col min="15857" max="15857" width="21.5703125" customWidth="1"/>
    <col min="15858" max="15858" width="17.28515625" customWidth="1"/>
    <col min="15859" max="15859" width="16.42578125" customWidth="1"/>
    <col min="15860" max="15860" width="9.85546875" customWidth="1"/>
    <col min="15861" max="15861" width="9.140625" customWidth="1"/>
    <col min="15862" max="15862" width="14.28515625" customWidth="1"/>
    <col min="15863" max="15863" width="8.42578125" customWidth="1"/>
    <col min="15864" max="15864" width="6.7109375" customWidth="1"/>
    <col min="15865" max="15865" width="7.42578125" customWidth="1"/>
    <col min="15873" max="15873" width="4.42578125" customWidth="1"/>
    <col min="15874" max="15874" width="7.42578125" customWidth="1"/>
    <col min="15875" max="15875" width="6.7109375" customWidth="1"/>
    <col min="15876" max="15876" width="26.42578125" customWidth="1"/>
    <col min="15877" max="15877" width="17.5703125" customWidth="1"/>
    <col min="15878" max="15878" width="13" bestFit="1" customWidth="1"/>
    <col min="15879" max="15879" width="11.28515625" customWidth="1"/>
    <col min="15880" max="15880" width="14.28515625" customWidth="1"/>
    <col min="15881" max="15881" width="12.7109375" customWidth="1"/>
    <col min="15882" max="15883" width="0" hidden="1" customWidth="1"/>
    <col min="15884" max="15884" width="8.5703125" customWidth="1"/>
    <col min="15885" max="15885" width="14.7109375" bestFit="1" customWidth="1"/>
    <col min="15886" max="15886" width="13.7109375" customWidth="1"/>
    <col min="15887" max="15887" width="16.28515625" bestFit="1" customWidth="1"/>
    <col min="15888" max="15888" width="14.85546875" customWidth="1"/>
    <col min="15889" max="15889" width="12.140625" customWidth="1"/>
    <col min="15890" max="15891" width="11.42578125" bestFit="1" customWidth="1"/>
    <col min="15892" max="15893" width="9.7109375" customWidth="1"/>
    <col min="15894" max="15894" width="15.85546875" customWidth="1"/>
    <col min="15895" max="15895" width="14.7109375" customWidth="1"/>
    <col min="15896" max="15896" width="14.85546875" customWidth="1"/>
    <col min="15897" max="15897" width="22.42578125" customWidth="1"/>
    <col min="15898" max="15898" width="2.85546875" customWidth="1"/>
    <col min="15899" max="15899" width="12.140625" bestFit="1" customWidth="1"/>
    <col min="15900" max="16111" width="9.140625" customWidth="1"/>
    <col min="16112" max="16112" width="4.42578125" customWidth="1"/>
    <col min="16113" max="16113" width="21.5703125" customWidth="1"/>
    <col min="16114" max="16114" width="17.28515625" customWidth="1"/>
    <col min="16115" max="16115" width="16.42578125" customWidth="1"/>
    <col min="16116" max="16116" width="9.85546875" customWidth="1"/>
    <col min="16117" max="16117" width="9.140625" customWidth="1"/>
    <col min="16118" max="16118" width="14.28515625" customWidth="1"/>
    <col min="16119" max="16119" width="8.42578125" customWidth="1"/>
    <col min="16120" max="16120" width="6.7109375" customWidth="1"/>
    <col min="16121" max="16121" width="7.42578125" customWidth="1"/>
    <col min="16129" max="16129" width="4.42578125" customWidth="1"/>
    <col min="16130" max="16130" width="7.42578125" customWidth="1"/>
    <col min="16131" max="16131" width="6.7109375" customWidth="1"/>
    <col min="16132" max="16132" width="26.42578125" customWidth="1"/>
    <col min="16133" max="16133" width="17.5703125" customWidth="1"/>
    <col min="16134" max="16134" width="13" bestFit="1" customWidth="1"/>
    <col min="16135" max="16135" width="11.28515625" customWidth="1"/>
    <col min="16136" max="16136" width="14.28515625" customWidth="1"/>
    <col min="16137" max="16137" width="12.7109375" customWidth="1"/>
    <col min="16138" max="16139" width="0" hidden="1" customWidth="1"/>
    <col min="16140" max="16140" width="8.5703125" customWidth="1"/>
    <col min="16141" max="16141" width="14.7109375" bestFit="1" customWidth="1"/>
    <col min="16142" max="16142" width="13.7109375" customWidth="1"/>
    <col min="16143" max="16143" width="16.28515625" bestFit="1" customWidth="1"/>
    <col min="16144" max="16144" width="14.85546875" customWidth="1"/>
    <col min="16145" max="16145" width="12.140625" customWidth="1"/>
    <col min="16146" max="16147" width="11.42578125" bestFit="1" customWidth="1"/>
    <col min="16148" max="16149" width="9.7109375" customWidth="1"/>
    <col min="16150" max="16150" width="15.85546875" customWidth="1"/>
    <col min="16151" max="16151" width="14.7109375" customWidth="1"/>
    <col min="16152" max="16152" width="14.85546875" customWidth="1"/>
    <col min="16153" max="16153" width="22.42578125" customWidth="1"/>
    <col min="16154" max="16154" width="2.85546875" customWidth="1"/>
    <col min="16155" max="16155" width="12.140625" bestFit="1" customWidth="1"/>
    <col min="16156" max="16367" width="9.140625" customWidth="1"/>
    <col min="16368" max="16368" width="4.42578125" customWidth="1"/>
    <col min="16369" max="16369" width="21.5703125" customWidth="1"/>
    <col min="16370" max="16370" width="17.28515625" customWidth="1"/>
    <col min="16371" max="16371" width="16.42578125" customWidth="1"/>
    <col min="16372" max="16372" width="9.85546875" customWidth="1"/>
    <col min="16373" max="16373" width="9.140625" customWidth="1"/>
    <col min="16374" max="16374" width="14.28515625" customWidth="1"/>
    <col min="16375" max="16375" width="8.42578125" customWidth="1"/>
    <col min="16376" max="16376" width="6.7109375" customWidth="1"/>
    <col min="16377" max="16377" width="7.42578125" customWidth="1"/>
  </cols>
  <sheetData>
    <row r="1" spans="1:27" x14ac:dyDescent="0.25">
      <c r="A1" s="24"/>
      <c r="B1" s="24"/>
      <c r="C1" s="25"/>
      <c r="D1" s="25"/>
      <c r="E1" s="24"/>
      <c r="F1" s="26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7" ht="20.25" x14ac:dyDescent="0.3">
      <c r="A2" s="27"/>
      <c r="B2" s="27"/>
      <c r="C2" s="28"/>
      <c r="D2" s="28"/>
      <c r="E2" s="149" t="s">
        <v>41</v>
      </c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27"/>
      <c r="S2" s="27"/>
      <c r="T2" s="27"/>
      <c r="U2" s="27"/>
      <c r="V2" s="27"/>
      <c r="W2" s="27"/>
      <c r="X2" s="27"/>
      <c r="Y2" s="27"/>
    </row>
    <row r="3" spans="1:27" ht="11.25" customHeight="1" x14ac:dyDescent="0.25">
      <c r="A3" s="24"/>
      <c r="B3" s="24"/>
      <c r="C3" s="25"/>
      <c r="D3" s="25"/>
      <c r="E3" s="24"/>
      <c r="F3" s="26"/>
      <c r="G3" s="24"/>
      <c r="H3" s="24"/>
      <c r="I3" s="29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 spans="1:27" x14ac:dyDescent="0.25">
      <c r="A4" s="24" t="s">
        <v>42</v>
      </c>
      <c r="B4" s="24"/>
      <c r="C4" s="25"/>
      <c r="D4" s="24" t="s">
        <v>92</v>
      </c>
      <c r="E4" s="24"/>
      <c r="F4" s="26"/>
      <c r="G4" s="24"/>
      <c r="H4" s="24"/>
      <c r="I4" s="29"/>
      <c r="J4" s="24"/>
      <c r="K4" s="24" t="s">
        <v>43</v>
      </c>
      <c r="L4" s="24"/>
      <c r="M4" s="24"/>
      <c r="N4" s="24" t="s">
        <v>93</v>
      </c>
      <c r="O4" s="24"/>
      <c r="P4" s="24"/>
      <c r="Q4" s="24"/>
      <c r="R4" s="24"/>
      <c r="S4" s="24"/>
      <c r="T4" s="24"/>
      <c r="V4" s="24" t="s">
        <v>44</v>
      </c>
      <c r="W4" s="24"/>
      <c r="X4" s="30">
        <v>46023</v>
      </c>
      <c r="Y4" s="24"/>
    </row>
    <row r="5" spans="1:27" x14ac:dyDescent="0.25">
      <c r="A5" s="24" t="s">
        <v>45</v>
      </c>
      <c r="B5" s="24"/>
      <c r="C5" s="25"/>
      <c r="D5" s="25"/>
      <c r="E5" s="24"/>
      <c r="F5" s="26"/>
      <c r="G5" s="24"/>
      <c r="H5" s="24"/>
      <c r="I5" s="29"/>
      <c r="J5" s="24"/>
      <c r="K5" s="24" t="s">
        <v>46</v>
      </c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 spans="1:27" x14ac:dyDescent="0.25">
      <c r="A6" s="24"/>
      <c r="B6" s="24"/>
      <c r="C6" s="25"/>
      <c r="D6" s="25"/>
      <c r="E6" s="24"/>
      <c r="F6" s="26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 spans="1:27" ht="12.75" customHeight="1" x14ac:dyDescent="0.25">
      <c r="A7" s="151" t="s">
        <v>47</v>
      </c>
      <c r="B7" s="154" t="s">
        <v>48</v>
      </c>
      <c r="C7" s="155"/>
      <c r="D7" s="155"/>
      <c r="E7" s="156"/>
      <c r="F7" s="154" t="s">
        <v>49</v>
      </c>
      <c r="G7" s="160"/>
      <c r="H7" s="160"/>
      <c r="I7" s="161"/>
      <c r="J7" s="165" t="s">
        <v>50</v>
      </c>
      <c r="K7" s="165" t="s">
        <v>51</v>
      </c>
      <c r="L7" s="31"/>
      <c r="M7" s="166" t="s">
        <v>52</v>
      </c>
      <c r="N7" s="166" t="s">
        <v>53</v>
      </c>
      <c r="O7" s="165" t="s">
        <v>54</v>
      </c>
      <c r="P7" s="168" t="s">
        <v>55</v>
      </c>
      <c r="Q7" s="160"/>
      <c r="R7" s="160"/>
      <c r="S7" s="160"/>
      <c r="T7" s="160"/>
      <c r="U7" s="161"/>
      <c r="V7" s="165" t="s">
        <v>56</v>
      </c>
      <c r="W7" s="169" t="s">
        <v>57</v>
      </c>
      <c r="X7" s="169" t="s">
        <v>58</v>
      </c>
      <c r="Y7" s="165" t="s">
        <v>59</v>
      </c>
    </row>
    <row r="8" spans="1:27" ht="12.75" customHeight="1" x14ac:dyDescent="0.25">
      <c r="A8" s="152"/>
      <c r="B8" s="157"/>
      <c r="C8" s="158"/>
      <c r="D8" s="158"/>
      <c r="E8" s="159"/>
      <c r="F8" s="162"/>
      <c r="G8" s="163"/>
      <c r="H8" s="163"/>
      <c r="I8" s="164"/>
      <c r="J8" s="152"/>
      <c r="K8" s="152"/>
      <c r="L8" s="32"/>
      <c r="M8" s="167"/>
      <c r="N8" s="167"/>
      <c r="O8" s="152"/>
      <c r="P8" s="162"/>
      <c r="Q8" s="163"/>
      <c r="R8" s="163"/>
      <c r="S8" s="163"/>
      <c r="T8" s="163"/>
      <c r="U8" s="164"/>
      <c r="V8" s="152"/>
      <c r="W8" s="152"/>
      <c r="X8" s="152"/>
      <c r="Y8" s="152"/>
    </row>
    <row r="9" spans="1:27" ht="21" customHeight="1" x14ac:dyDescent="0.25">
      <c r="A9" s="152"/>
      <c r="B9" s="151" t="s">
        <v>60</v>
      </c>
      <c r="C9" s="170" t="s">
        <v>61</v>
      </c>
      <c r="D9" s="33"/>
      <c r="E9" s="170" t="s">
        <v>62</v>
      </c>
      <c r="F9" s="171" t="s">
        <v>63</v>
      </c>
      <c r="G9" s="165" t="s">
        <v>64</v>
      </c>
      <c r="H9" s="165" t="s">
        <v>65</v>
      </c>
      <c r="I9" s="165" t="s">
        <v>66</v>
      </c>
      <c r="J9" s="152"/>
      <c r="K9" s="152"/>
      <c r="L9" s="130" t="s">
        <v>67</v>
      </c>
      <c r="M9" s="167"/>
      <c r="N9" s="167"/>
      <c r="O9" s="152"/>
      <c r="P9" s="177" t="s">
        <v>68</v>
      </c>
      <c r="Q9" s="177" t="s">
        <v>69</v>
      </c>
      <c r="R9" s="177" t="s">
        <v>70</v>
      </c>
      <c r="S9" s="177" t="s">
        <v>71</v>
      </c>
      <c r="T9" s="177" t="s">
        <v>72</v>
      </c>
      <c r="U9" s="178" t="s">
        <v>73</v>
      </c>
      <c r="V9" s="152"/>
      <c r="W9" s="152"/>
      <c r="X9" s="152"/>
      <c r="Y9" s="152"/>
    </row>
    <row r="10" spans="1:27" ht="21" customHeight="1" x14ac:dyDescent="0.25">
      <c r="A10" s="152"/>
      <c r="B10" s="152"/>
      <c r="C10" s="152"/>
      <c r="D10" s="32"/>
      <c r="E10" s="152"/>
      <c r="F10" s="172"/>
      <c r="G10" s="152"/>
      <c r="H10" s="152"/>
      <c r="I10" s="152"/>
      <c r="J10" s="152"/>
      <c r="K10" s="152"/>
      <c r="L10" s="176"/>
      <c r="M10" s="167"/>
      <c r="N10" s="167"/>
      <c r="O10" s="152"/>
      <c r="P10" s="152"/>
      <c r="Q10" s="152"/>
      <c r="R10" s="152"/>
      <c r="S10" s="152"/>
      <c r="T10" s="152"/>
      <c r="U10" s="179"/>
      <c r="V10" s="152"/>
      <c r="W10" s="152"/>
      <c r="X10" s="152"/>
      <c r="Y10" s="152"/>
    </row>
    <row r="11" spans="1:27" ht="21" customHeight="1" x14ac:dyDescent="0.25">
      <c r="A11" s="153"/>
      <c r="B11" s="153"/>
      <c r="C11" s="153"/>
      <c r="D11" s="34" t="s">
        <v>74</v>
      </c>
      <c r="E11" s="153"/>
      <c r="F11" s="173"/>
      <c r="G11" s="153"/>
      <c r="H11" s="153"/>
      <c r="I11" s="153"/>
      <c r="J11" s="153"/>
      <c r="K11" s="153"/>
      <c r="L11" s="176"/>
      <c r="M11" s="167"/>
      <c r="N11" s="167"/>
      <c r="O11" s="153"/>
      <c r="P11" s="153"/>
      <c r="Q11" s="153"/>
      <c r="R11" s="153"/>
      <c r="S11" s="153"/>
      <c r="T11" s="153"/>
      <c r="U11" s="180"/>
      <c r="V11" s="153"/>
      <c r="W11" s="153"/>
      <c r="X11" s="153"/>
      <c r="Y11" s="153"/>
    </row>
    <row r="12" spans="1:27" s="44" customFormat="1" ht="39.950000000000003" customHeight="1" x14ac:dyDescent="0.25">
      <c r="A12" s="35">
        <v>1</v>
      </c>
      <c r="B12" s="35"/>
      <c r="C12" s="36"/>
      <c r="D12" s="37" t="s">
        <v>85</v>
      </c>
      <c r="E12" s="38" t="s">
        <v>75</v>
      </c>
      <c r="F12" s="80">
        <v>8830.44</v>
      </c>
      <c r="G12" s="79">
        <v>0</v>
      </c>
      <c r="H12" s="80">
        <v>8830.44</v>
      </c>
      <c r="I12" s="39"/>
      <c r="J12" s="39"/>
      <c r="K12" s="39"/>
      <c r="L12" s="40"/>
      <c r="M12" s="39">
        <f t="shared" ref="M12:M18" si="0">H12</f>
        <v>8830.44</v>
      </c>
      <c r="N12" s="39">
        <f t="shared" ref="N12:O27" si="1">M12</f>
        <v>8830.44</v>
      </c>
      <c r="O12" s="41">
        <f t="shared" si="1"/>
        <v>8830.44</v>
      </c>
      <c r="P12" s="39">
        <f>(N12*20/100)</f>
        <v>1766.0880000000002</v>
      </c>
      <c r="Q12" s="39">
        <f t="shared" ref="Q12:Q27" si="2">((M12)*7.59/1000)</f>
        <v>67.023039600000004</v>
      </c>
      <c r="R12" s="42"/>
      <c r="S12" s="39"/>
      <c r="T12" s="39"/>
      <c r="U12" s="39"/>
      <c r="V12" s="39">
        <f t="shared" ref="V12:V27" si="3">P12+Q12+S12+U12</f>
        <v>1833.1110396000001</v>
      </c>
      <c r="W12" s="39"/>
      <c r="X12" s="43">
        <f t="shared" ref="X12:X27" si="4">M12-V12+W12</f>
        <v>6997.3289604000001</v>
      </c>
      <c r="Y12" s="39"/>
    </row>
    <row r="13" spans="1:27" s="44" customFormat="1" ht="39.950000000000003" customHeight="1" x14ac:dyDescent="0.25">
      <c r="A13" s="35">
        <v>2</v>
      </c>
      <c r="B13" s="45"/>
      <c r="C13" s="46"/>
      <c r="D13" s="47" t="s">
        <v>86</v>
      </c>
      <c r="E13" s="48" t="s">
        <v>76</v>
      </c>
      <c r="F13" s="39">
        <v>6307.46</v>
      </c>
      <c r="G13" s="49">
        <v>0</v>
      </c>
      <c r="H13" s="39">
        <v>6307.46</v>
      </c>
      <c r="I13" s="39"/>
      <c r="J13" s="39"/>
      <c r="K13" s="39"/>
      <c r="L13" s="40"/>
      <c r="M13" s="39">
        <f t="shared" si="0"/>
        <v>6307.46</v>
      </c>
      <c r="N13" s="39">
        <f t="shared" si="1"/>
        <v>6307.46</v>
      </c>
      <c r="O13" s="41">
        <f t="shared" si="1"/>
        <v>6307.46</v>
      </c>
      <c r="P13" s="39">
        <f>(N13*20/100)</f>
        <v>1261.492</v>
      </c>
      <c r="Q13" s="39">
        <f t="shared" si="2"/>
        <v>47.873621399999998</v>
      </c>
      <c r="R13" s="50"/>
      <c r="S13" s="39"/>
      <c r="T13" s="39"/>
      <c r="U13" s="39"/>
      <c r="V13" s="39">
        <f t="shared" si="3"/>
        <v>1309.3656214</v>
      </c>
      <c r="W13" s="39"/>
      <c r="X13" s="43">
        <f t="shared" si="4"/>
        <v>4998.0943785999998</v>
      </c>
      <c r="Y13" s="39"/>
    </row>
    <row r="14" spans="1:27" s="44" customFormat="1" ht="39.950000000000003" customHeight="1" x14ac:dyDescent="0.25">
      <c r="A14" s="35">
        <v>4</v>
      </c>
      <c r="B14" s="45" t="s">
        <v>78</v>
      </c>
      <c r="C14" s="46"/>
      <c r="D14" s="51" t="s">
        <v>115</v>
      </c>
      <c r="E14" s="56" t="s">
        <v>77</v>
      </c>
      <c r="F14" s="39">
        <v>286.7</v>
      </c>
      <c r="G14" s="49">
        <v>20</v>
      </c>
      <c r="H14" s="39">
        <f t="shared" ref="H14:H23" si="5">F14*G14</f>
        <v>5734</v>
      </c>
      <c r="I14" s="39"/>
      <c r="J14" s="39"/>
      <c r="K14" s="39"/>
      <c r="L14" s="40"/>
      <c r="M14" s="39">
        <f t="shared" si="0"/>
        <v>5734</v>
      </c>
      <c r="N14" s="39">
        <f t="shared" si="1"/>
        <v>5734</v>
      </c>
      <c r="O14" s="41">
        <f t="shared" si="1"/>
        <v>5734</v>
      </c>
      <c r="P14" s="39">
        <f t="shared" ref="P14:P18" si="6">(N14*15/100)</f>
        <v>860.1</v>
      </c>
      <c r="Q14" s="39">
        <f t="shared" si="2"/>
        <v>43.521059999999999</v>
      </c>
      <c r="R14" s="53"/>
      <c r="S14" s="39"/>
      <c r="T14" s="39"/>
      <c r="U14" s="39"/>
      <c r="V14" s="39">
        <f t="shared" si="3"/>
        <v>903.62106000000006</v>
      </c>
      <c r="W14" s="39"/>
      <c r="X14" s="43">
        <f t="shared" si="4"/>
        <v>4830.3789399999996</v>
      </c>
      <c r="Y14" s="40"/>
      <c r="AA14" s="52"/>
    </row>
    <row r="15" spans="1:27" s="44" customFormat="1" ht="39.950000000000003" customHeight="1" x14ac:dyDescent="0.25">
      <c r="A15" s="35">
        <v>5</v>
      </c>
      <c r="B15" s="45" t="s">
        <v>94</v>
      </c>
      <c r="C15" s="54"/>
      <c r="D15" s="55" t="s">
        <v>102</v>
      </c>
      <c r="E15" s="56" t="s">
        <v>77</v>
      </c>
      <c r="F15" s="39">
        <v>286.7</v>
      </c>
      <c r="G15" s="49">
        <v>20</v>
      </c>
      <c r="H15" s="39">
        <f t="shared" si="5"/>
        <v>5734</v>
      </c>
      <c r="I15" s="39"/>
      <c r="J15" s="39"/>
      <c r="K15" s="39"/>
      <c r="L15" s="40"/>
      <c r="M15" s="39">
        <f t="shared" si="0"/>
        <v>5734</v>
      </c>
      <c r="N15" s="39">
        <f t="shared" si="1"/>
        <v>5734</v>
      </c>
      <c r="O15" s="41">
        <f t="shared" si="1"/>
        <v>5734</v>
      </c>
      <c r="P15" s="39">
        <f t="shared" si="6"/>
        <v>860.1</v>
      </c>
      <c r="Q15" s="39">
        <f t="shared" si="2"/>
        <v>43.521059999999999</v>
      </c>
      <c r="R15" s="53"/>
      <c r="S15" s="39"/>
      <c r="T15" s="39"/>
      <c r="U15" s="39"/>
      <c r="V15" s="39">
        <f t="shared" si="3"/>
        <v>903.62106000000006</v>
      </c>
      <c r="W15" s="39"/>
      <c r="X15" s="43">
        <f t="shared" si="4"/>
        <v>4830.3789399999996</v>
      </c>
      <c r="Y15" s="40"/>
      <c r="AA15" s="52"/>
    </row>
    <row r="16" spans="1:27" s="44" customFormat="1" ht="39.950000000000003" customHeight="1" x14ac:dyDescent="0.25">
      <c r="A16" s="35">
        <v>6</v>
      </c>
      <c r="B16" s="45" t="s">
        <v>95</v>
      </c>
      <c r="C16" s="54"/>
      <c r="D16" s="55" t="s">
        <v>103</v>
      </c>
      <c r="E16" s="56" t="s">
        <v>77</v>
      </c>
      <c r="F16" s="39">
        <v>286.7</v>
      </c>
      <c r="G16" s="49">
        <v>20</v>
      </c>
      <c r="H16" s="39">
        <f t="shared" si="5"/>
        <v>5734</v>
      </c>
      <c r="I16" s="39"/>
      <c r="J16" s="39"/>
      <c r="K16" s="39"/>
      <c r="L16" s="40"/>
      <c r="M16" s="39">
        <f t="shared" si="0"/>
        <v>5734</v>
      </c>
      <c r="N16" s="39">
        <f t="shared" si="1"/>
        <v>5734</v>
      </c>
      <c r="O16" s="41">
        <f t="shared" si="1"/>
        <v>5734</v>
      </c>
      <c r="P16" s="39">
        <f t="shared" si="6"/>
        <v>860.1</v>
      </c>
      <c r="Q16" s="39">
        <f t="shared" si="2"/>
        <v>43.521059999999999</v>
      </c>
      <c r="R16" s="53"/>
      <c r="S16" s="39"/>
      <c r="T16" s="39"/>
      <c r="U16" s="39"/>
      <c r="V16" s="39">
        <f t="shared" si="3"/>
        <v>903.62106000000006</v>
      </c>
      <c r="W16" s="39"/>
      <c r="X16" s="43">
        <f t="shared" si="4"/>
        <v>4830.3789399999996</v>
      </c>
      <c r="Y16" s="40"/>
    </row>
    <row r="17" spans="1:27" s="44" customFormat="1" ht="39.950000000000003" customHeight="1" x14ac:dyDescent="0.25">
      <c r="A17" s="35">
        <v>7</v>
      </c>
      <c r="B17" s="45" t="s">
        <v>96</v>
      </c>
      <c r="C17" s="54"/>
      <c r="D17" s="55" t="s">
        <v>87</v>
      </c>
      <c r="E17" s="56" t="s">
        <v>77</v>
      </c>
      <c r="F17" s="39">
        <v>286.7</v>
      </c>
      <c r="G17" s="49">
        <v>20</v>
      </c>
      <c r="H17" s="39">
        <f t="shared" si="5"/>
        <v>5734</v>
      </c>
      <c r="I17" s="39"/>
      <c r="J17" s="39"/>
      <c r="K17" s="39"/>
      <c r="L17" s="40"/>
      <c r="M17" s="39">
        <f t="shared" si="0"/>
        <v>5734</v>
      </c>
      <c r="N17" s="39">
        <f t="shared" si="1"/>
        <v>5734</v>
      </c>
      <c r="O17" s="41">
        <f t="shared" si="1"/>
        <v>5734</v>
      </c>
      <c r="P17" s="39">
        <f t="shared" si="6"/>
        <v>860.1</v>
      </c>
      <c r="Q17" s="39">
        <f t="shared" si="2"/>
        <v>43.521059999999999</v>
      </c>
      <c r="R17" s="53"/>
      <c r="S17" s="39"/>
      <c r="T17" s="39"/>
      <c r="U17" s="39"/>
      <c r="V17" s="39">
        <f t="shared" si="3"/>
        <v>903.62106000000006</v>
      </c>
      <c r="W17" s="39"/>
      <c r="X17" s="43">
        <f t="shared" si="4"/>
        <v>4830.3789399999996</v>
      </c>
      <c r="Y17" s="40"/>
    </row>
    <row r="18" spans="1:27" s="44" customFormat="1" ht="39.950000000000003" customHeight="1" x14ac:dyDescent="0.25">
      <c r="A18" s="35">
        <v>8</v>
      </c>
      <c r="B18" s="45" t="s">
        <v>97</v>
      </c>
      <c r="C18" s="54"/>
      <c r="D18" s="55" t="s">
        <v>104</v>
      </c>
      <c r="E18" s="56" t="s">
        <v>77</v>
      </c>
      <c r="F18" s="39">
        <v>286.7</v>
      </c>
      <c r="G18" s="49">
        <v>20</v>
      </c>
      <c r="H18" s="39">
        <f t="shared" si="5"/>
        <v>5734</v>
      </c>
      <c r="I18" s="39"/>
      <c r="J18" s="39"/>
      <c r="K18" s="39"/>
      <c r="L18" s="40"/>
      <c r="M18" s="39">
        <f t="shared" si="0"/>
        <v>5734</v>
      </c>
      <c r="N18" s="39">
        <f t="shared" si="1"/>
        <v>5734</v>
      </c>
      <c r="O18" s="41">
        <f t="shared" si="1"/>
        <v>5734</v>
      </c>
      <c r="P18" s="39">
        <f t="shared" si="6"/>
        <v>860.1</v>
      </c>
      <c r="Q18" s="39">
        <f t="shared" si="2"/>
        <v>43.521059999999999</v>
      </c>
      <c r="R18" s="53"/>
      <c r="S18" s="39"/>
      <c r="T18" s="39"/>
      <c r="U18" s="39"/>
      <c r="V18" s="39">
        <f t="shared" si="3"/>
        <v>903.62106000000006</v>
      </c>
      <c r="W18" s="39"/>
      <c r="X18" s="43">
        <f t="shared" si="4"/>
        <v>4830.3789399999996</v>
      </c>
      <c r="Y18" s="40"/>
    </row>
    <row r="19" spans="1:27" s="44" customFormat="1" ht="39.950000000000003" customHeight="1" x14ac:dyDescent="0.25">
      <c r="A19" s="35">
        <v>9</v>
      </c>
      <c r="B19" s="45" t="s">
        <v>98</v>
      </c>
      <c r="C19" s="54"/>
      <c r="D19" s="55" t="s">
        <v>105</v>
      </c>
      <c r="E19" s="56" t="s">
        <v>35</v>
      </c>
      <c r="F19" s="39">
        <v>286.7</v>
      </c>
      <c r="G19" s="49">
        <v>40</v>
      </c>
      <c r="H19" s="61">
        <f t="shared" si="5"/>
        <v>11468</v>
      </c>
      <c r="I19" s="39">
        <f t="shared" ref="I19:I23" si="7">H19</f>
        <v>11468</v>
      </c>
      <c r="J19" s="39"/>
      <c r="K19" s="39"/>
      <c r="L19" s="40"/>
      <c r="M19" s="39">
        <f>H19+J19+K19+L19</f>
        <v>11468</v>
      </c>
      <c r="N19" s="39">
        <f t="shared" si="1"/>
        <v>11468</v>
      </c>
      <c r="O19" s="41">
        <f t="shared" si="1"/>
        <v>11468</v>
      </c>
      <c r="P19" s="39">
        <f>(N19*15/100)</f>
        <v>1720.2</v>
      </c>
      <c r="Q19" s="39">
        <f t="shared" si="2"/>
        <v>87.042119999999997</v>
      </c>
      <c r="R19" s="39">
        <f>(I19*14/100)</f>
        <v>1605.52</v>
      </c>
      <c r="S19" s="39">
        <f>K19+R19</f>
        <v>1605.52</v>
      </c>
      <c r="T19" s="39">
        <f>(I19*1/100)</f>
        <v>114.68</v>
      </c>
      <c r="U19" s="39">
        <f>J19+T19</f>
        <v>114.68</v>
      </c>
      <c r="V19" s="39">
        <f t="shared" si="3"/>
        <v>3527.4421200000002</v>
      </c>
      <c r="W19" s="39">
        <f t="shared" ref="W19:W27" si="8">V19</f>
        <v>3527.4421200000002</v>
      </c>
      <c r="X19" s="43">
        <f>M19-V19+W19</f>
        <v>11468</v>
      </c>
      <c r="Y19" s="40"/>
    </row>
    <row r="20" spans="1:27" s="44" customFormat="1" ht="39.950000000000003" customHeight="1" x14ac:dyDescent="0.25">
      <c r="A20" s="35">
        <v>10</v>
      </c>
      <c r="B20" s="45" t="s">
        <v>99</v>
      </c>
      <c r="C20" s="54"/>
      <c r="D20" s="55" t="s">
        <v>106</v>
      </c>
      <c r="E20" s="56" t="s">
        <v>35</v>
      </c>
      <c r="F20" s="39">
        <v>286.7</v>
      </c>
      <c r="G20" s="49">
        <v>40</v>
      </c>
      <c r="H20" s="61">
        <f t="shared" si="5"/>
        <v>11468</v>
      </c>
      <c r="I20" s="39">
        <f t="shared" si="7"/>
        <v>11468</v>
      </c>
      <c r="J20" s="39"/>
      <c r="K20" s="39"/>
      <c r="L20" s="40"/>
      <c r="M20" s="39">
        <f t="shared" ref="M20:M23" si="9">H20+J20+K20+L20</f>
        <v>11468</v>
      </c>
      <c r="N20" s="39">
        <f t="shared" si="1"/>
        <v>11468</v>
      </c>
      <c r="O20" s="41">
        <f t="shared" si="1"/>
        <v>11468</v>
      </c>
      <c r="P20" s="39">
        <f t="shared" ref="P20:P23" si="10">(N20*15/100)</f>
        <v>1720.2</v>
      </c>
      <c r="Q20" s="39">
        <f t="shared" si="2"/>
        <v>87.042119999999997</v>
      </c>
      <c r="R20" s="39">
        <f t="shared" ref="R20:R23" si="11">(I20*14/100)</f>
        <v>1605.52</v>
      </c>
      <c r="S20" s="39">
        <f t="shared" ref="S20:S23" si="12">K20+R20</f>
        <v>1605.52</v>
      </c>
      <c r="T20" s="39">
        <f t="shared" ref="T20:T23" si="13">(I20*1/100)</f>
        <v>114.68</v>
      </c>
      <c r="U20" s="39">
        <f t="shared" ref="U20:U23" si="14">J20+T20</f>
        <v>114.68</v>
      </c>
      <c r="V20" s="39">
        <f t="shared" si="3"/>
        <v>3527.4421200000002</v>
      </c>
      <c r="W20" s="39">
        <f t="shared" si="8"/>
        <v>3527.4421200000002</v>
      </c>
      <c r="X20" s="43">
        <f t="shared" ref="X20:X23" si="15">M20-V20+W20</f>
        <v>11468</v>
      </c>
      <c r="Y20" s="40"/>
    </row>
    <row r="21" spans="1:27" s="44" customFormat="1" ht="39.950000000000003" customHeight="1" x14ac:dyDescent="0.25">
      <c r="A21" s="35">
        <v>11</v>
      </c>
      <c r="B21" s="45" t="s">
        <v>100</v>
      </c>
      <c r="C21" s="54"/>
      <c r="D21" s="55" t="s">
        <v>107</v>
      </c>
      <c r="E21" s="56" t="s">
        <v>35</v>
      </c>
      <c r="F21" s="39">
        <v>286.7</v>
      </c>
      <c r="G21" s="49">
        <v>12</v>
      </c>
      <c r="H21" s="61">
        <f t="shared" si="5"/>
        <v>3440.3999999999996</v>
      </c>
      <c r="I21" s="39">
        <f t="shared" si="7"/>
        <v>3440.3999999999996</v>
      </c>
      <c r="J21" s="39"/>
      <c r="K21" s="39"/>
      <c r="L21" s="40"/>
      <c r="M21" s="39">
        <f t="shared" si="9"/>
        <v>3440.3999999999996</v>
      </c>
      <c r="N21" s="39">
        <f t="shared" si="1"/>
        <v>3440.3999999999996</v>
      </c>
      <c r="O21" s="41">
        <f t="shared" si="1"/>
        <v>3440.3999999999996</v>
      </c>
      <c r="P21" s="39">
        <f t="shared" si="10"/>
        <v>516.05999999999995</v>
      </c>
      <c r="Q21" s="39">
        <f t="shared" si="2"/>
        <v>26.112635999999995</v>
      </c>
      <c r="R21" s="39">
        <f t="shared" si="11"/>
        <v>481.65599999999989</v>
      </c>
      <c r="S21" s="39">
        <f t="shared" si="12"/>
        <v>481.65599999999989</v>
      </c>
      <c r="T21" s="39">
        <f t="shared" si="13"/>
        <v>34.403999999999996</v>
      </c>
      <c r="U21" s="39">
        <f t="shared" si="14"/>
        <v>34.403999999999996</v>
      </c>
      <c r="V21" s="39">
        <f t="shared" si="3"/>
        <v>1058.2326359999997</v>
      </c>
      <c r="W21" s="39">
        <f t="shared" si="8"/>
        <v>1058.2326359999997</v>
      </c>
      <c r="X21" s="43">
        <f t="shared" si="15"/>
        <v>3440.3999999999996</v>
      </c>
      <c r="Y21" s="40"/>
    </row>
    <row r="22" spans="1:27" s="44" customFormat="1" ht="39.950000000000003" customHeight="1" x14ac:dyDescent="0.25">
      <c r="A22" s="35">
        <v>12</v>
      </c>
      <c r="B22" s="45"/>
      <c r="C22" s="54"/>
      <c r="D22" s="55" t="s">
        <v>108</v>
      </c>
      <c r="E22" s="56" t="s">
        <v>35</v>
      </c>
      <c r="F22" s="39">
        <v>286.7</v>
      </c>
      <c r="G22" s="49">
        <v>8</v>
      </c>
      <c r="H22" s="61">
        <f t="shared" si="5"/>
        <v>2293.6</v>
      </c>
      <c r="I22" s="39">
        <f t="shared" si="7"/>
        <v>2293.6</v>
      </c>
      <c r="J22" s="39"/>
      <c r="K22" s="39"/>
      <c r="L22" s="40"/>
      <c r="M22" s="39">
        <f t="shared" si="9"/>
        <v>2293.6</v>
      </c>
      <c r="N22" s="39">
        <f t="shared" si="1"/>
        <v>2293.6</v>
      </c>
      <c r="O22" s="41">
        <f t="shared" si="1"/>
        <v>2293.6</v>
      </c>
      <c r="P22" s="39">
        <f t="shared" si="10"/>
        <v>344.04</v>
      </c>
      <c r="Q22" s="39">
        <f t="shared" si="2"/>
        <v>17.408424</v>
      </c>
      <c r="R22" s="39">
        <f t="shared" si="11"/>
        <v>321.10399999999998</v>
      </c>
      <c r="S22" s="39">
        <f t="shared" si="12"/>
        <v>321.10399999999998</v>
      </c>
      <c r="T22" s="39">
        <f t="shared" si="13"/>
        <v>22.936</v>
      </c>
      <c r="U22" s="39">
        <f t="shared" si="14"/>
        <v>22.936</v>
      </c>
      <c r="V22" s="39">
        <f t="shared" si="3"/>
        <v>705.48842400000001</v>
      </c>
      <c r="W22" s="39">
        <f t="shared" si="8"/>
        <v>705.48842400000001</v>
      </c>
      <c r="X22" s="43">
        <f t="shared" si="15"/>
        <v>2293.6</v>
      </c>
      <c r="Y22" s="40"/>
    </row>
    <row r="23" spans="1:27" s="44" customFormat="1" ht="39.950000000000003" customHeight="1" x14ac:dyDescent="0.25">
      <c r="A23" s="35">
        <v>13</v>
      </c>
      <c r="B23" s="45"/>
      <c r="C23" s="54"/>
      <c r="D23" s="55" t="s">
        <v>109</v>
      </c>
      <c r="E23" s="56" t="s">
        <v>35</v>
      </c>
      <c r="F23" s="39">
        <v>286.7</v>
      </c>
      <c r="G23" s="49">
        <v>20</v>
      </c>
      <c r="H23" s="61">
        <f t="shared" si="5"/>
        <v>5734</v>
      </c>
      <c r="I23" s="39">
        <f t="shared" si="7"/>
        <v>5734</v>
      </c>
      <c r="J23" s="39"/>
      <c r="K23" s="39"/>
      <c r="L23" s="40"/>
      <c r="M23" s="39">
        <f t="shared" si="9"/>
        <v>5734</v>
      </c>
      <c r="N23" s="39">
        <f t="shared" si="1"/>
        <v>5734</v>
      </c>
      <c r="O23" s="41">
        <f t="shared" si="1"/>
        <v>5734</v>
      </c>
      <c r="P23" s="39">
        <f t="shared" si="10"/>
        <v>860.1</v>
      </c>
      <c r="Q23" s="39">
        <f t="shared" si="2"/>
        <v>43.521059999999999</v>
      </c>
      <c r="R23" s="39">
        <f t="shared" si="11"/>
        <v>802.76</v>
      </c>
      <c r="S23" s="39">
        <f t="shared" si="12"/>
        <v>802.76</v>
      </c>
      <c r="T23" s="39">
        <f t="shared" si="13"/>
        <v>57.34</v>
      </c>
      <c r="U23" s="39">
        <f t="shared" si="14"/>
        <v>57.34</v>
      </c>
      <c r="V23" s="39">
        <f t="shared" si="3"/>
        <v>1763.7210600000001</v>
      </c>
      <c r="W23" s="39">
        <f t="shared" si="8"/>
        <v>1763.7210600000001</v>
      </c>
      <c r="X23" s="43">
        <f t="shared" si="15"/>
        <v>5734</v>
      </c>
      <c r="Y23" s="40"/>
    </row>
    <row r="24" spans="1:27" s="44" customFormat="1" ht="39.950000000000003" customHeight="1" x14ac:dyDescent="0.25">
      <c r="A24" s="35">
        <v>14</v>
      </c>
      <c r="B24" s="45"/>
      <c r="C24" s="57"/>
      <c r="D24" s="60" t="s">
        <v>88</v>
      </c>
      <c r="E24" s="56" t="s">
        <v>79</v>
      </c>
      <c r="F24" s="61">
        <v>2522.98</v>
      </c>
      <c r="G24" s="49">
        <v>0</v>
      </c>
      <c r="H24" s="61">
        <v>2522.98</v>
      </c>
      <c r="I24" s="39"/>
      <c r="J24" s="39"/>
      <c r="K24" s="39"/>
      <c r="L24" s="40"/>
      <c r="M24" s="39">
        <f>H24+J24+K24+L24</f>
        <v>2522.98</v>
      </c>
      <c r="N24" s="39">
        <f t="shared" si="1"/>
        <v>2522.98</v>
      </c>
      <c r="O24" s="41">
        <f t="shared" si="1"/>
        <v>2522.98</v>
      </c>
      <c r="P24" s="39">
        <f>(N24*15/100)</f>
        <v>378.44699999999995</v>
      </c>
      <c r="Q24" s="39">
        <f t="shared" si="2"/>
        <v>19.1494182</v>
      </c>
      <c r="R24" s="39"/>
      <c r="S24" s="39"/>
      <c r="T24" s="39"/>
      <c r="U24" s="39"/>
      <c r="V24" s="39">
        <f t="shared" si="3"/>
        <v>397.59641819999996</v>
      </c>
      <c r="W24" s="39">
        <f>V24/2</f>
        <v>198.79820909999998</v>
      </c>
      <c r="X24" s="43">
        <f t="shared" si="4"/>
        <v>2324.1817909000001</v>
      </c>
      <c r="Y24" s="45"/>
      <c r="Z24" s="59"/>
      <c r="AA24" s="52"/>
    </row>
    <row r="25" spans="1:27" s="44" customFormat="1" ht="39.950000000000003" customHeight="1" x14ac:dyDescent="0.25">
      <c r="A25" s="35">
        <v>15</v>
      </c>
      <c r="B25" s="45"/>
      <c r="C25" s="62"/>
      <c r="D25" s="58" t="s">
        <v>89</v>
      </c>
      <c r="E25" s="56" t="s">
        <v>80</v>
      </c>
      <c r="F25" s="61">
        <v>5045.96</v>
      </c>
      <c r="G25" s="49">
        <v>0</v>
      </c>
      <c r="H25" s="61">
        <v>5045.96</v>
      </c>
      <c r="I25" s="39"/>
      <c r="J25" s="39"/>
      <c r="K25" s="39"/>
      <c r="L25" s="40"/>
      <c r="M25" s="39">
        <f t="shared" ref="M25:M27" si="16">H25+J25+K25+L25</f>
        <v>5045.96</v>
      </c>
      <c r="N25" s="39">
        <f t="shared" si="1"/>
        <v>5045.96</v>
      </c>
      <c r="O25" s="41">
        <f t="shared" si="1"/>
        <v>5045.96</v>
      </c>
      <c r="P25" s="39">
        <f>(N25*20/100)</f>
        <v>1009.192</v>
      </c>
      <c r="Q25" s="39">
        <f t="shared" si="2"/>
        <v>38.298836399999999</v>
      </c>
      <c r="R25" s="39"/>
      <c r="S25" s="39"/>
      <c r="T25" s="39"/>
      <c r="U25" s="39"/>
      <c r="V25" s="39">
        <f t="shared" si="3"/>
        <v>1047.4908364</v>
      </c>
      <c r="W25" s="39">
        <f t="shared" si="8"/>
        <v>1047.4908364</v>
      </c>
      <c r="X25" s="43">
        <f t="shared" si="4"/>
        <v>5045.96</v>
      </c>
      <c r="Y25" s="45"/>
      <c r="Z25" s="59"/>
    </row>
    <row r="26" spans="1:27" s="44" customFormat="1" ht="39.950000000000003" customHeight="1" x14ac:dyDescent="0.25">
      <c r="A26" s="35">
        <v>50</v>
      </c>
      <c r="B26" s="45"/>
      <c r="C26" s="62"/>
      <c r="D26" s="60"/>
      <c r="E26" s="56"/>
      <c r="F26" s="61"/>
      <c r="G26" s="49">
        <v>0</v>
      </c>
      <c r="H26" s="61"/>
      <c r="I26" s="39">
        <f t="shared" ref="I26:I27" si="17">H26</f>
        <v>0</v>
      </c>
      <c r="J26" s="39"/>
      <c r="K26" s="39"/>
      <c r="L26" s="40"/>
      <c r="M26" s="39">
        <f t="shared" si="16"/>
        <v>0</v>
      </c>
      <c r="N26" s="39">
        <f t="shared" si="1"/>
        <v>0</v>
      </c>
      <c r="O26" s="41">
        <f t="shared" si="1"/>
        <v>0</v>
      </c>
      <c r="P26" s="39">
        <f t="shared" ref="P26:P27" si="18">(N26*15/100)</f>
        <v>0</v>
      </c>
      <c r="Q26" s="39">
        <f t="shared" si="2"/>
        <v>0</v>
      </c>
      <c r="R26" s="39"/>
      <c r="S26" s="39"/>
      <c r="T26" s="39"/>
      <c r="U26" s="39"/>
      <c r="V26" s="39">
        <f t="shared" si="3"/>
        <v>0</v>
      </c>
      <c r="W26" s="39">
        <f t="shared" si="8"/>
        <v>0</v>
      </c>
      <c r="X26" s="43">
        <f t="shared" si="4"/>
        <v>0</v>
      </c>
      <c r="Y26" s="45"/>
      <c r="Z26" s="59"/>
    </row>
    <row r="27" spans="1:27" s="44" customFormat="1" ht="39.950000000000003" customHeight="1" x14ac:dyDescent="0.25">
      <c r="A27" s="35">
        <v>51</v>
      </c>
      <c r="B27" s="45"/>
      <c r="C27" s="62"/>
      <c r="D27" s="60"/>
      <c r="E27" s="56"/>
      <c r="F27" s="61"/>
      <c r="G27" s="49">
        <v>0</v>
      </c>
      <c r="H27" s="61"/>
      <c r="I27" s="39">
        <f t="shared" si="17"/>
        <v>0</v>
      </c>
      <c r="J27" s="39"/>
      <c r="K27" s="39"/>
      <c r="L27" s="40"/>
      <c r="M27" s="39">
        <f t="shared" si="16"/>
        <v>0</v>
      </c>
      <c r="N27" s="39">
        <f t="shared" si="1"/>
        <v>0</v>
      </c>
      <c r="O27" s="41">
        <f t="shared" si="1"/>
        <v>0</v>
      </c>
      <c r="P27" s="39">
        <f t="shared" si="18"/>
        <v>0</v>
      </c>
      <c r="Q27" s="39">
        <f t="shared" si="2"/>
        <v>0</v>
      </c>
      <c r="R27" s="39"/>
      <c r="S27" s="39"/>
      <c r="T27" s="39"/>
      <c r="U27" s="39"/>
      <c r="V27" s="39">
        <f t="shared" si="3"/>
        <v>0</v>
      </c>
      <c r="W27" s="39">
        <f t="shared" si="8"/>
        <v>0</v>
      </c>
      <c r="X27" s="43">
        <f t="shared" si="4"/>
        <v>0</v>
      </c>
      <c r="Y27" s="45"/>
      <c r="Z27" s="59"/>
    </row>
    <row r="28" spans="1:27" s="44" customFormat="1" ht="39.950000000000003" customHeight="1" x14ac:dyDescent="0.25">
      <c r="A28" s="45"/>
      <c r="B28" s="45"/>
      <c r="C28" s="49" t="s">
        <v>39</v>
      </c>
      <c r="D28" s="49"/>
      <c r="E28" s="49"/>
      <c r="F28" s="63"/>
      <c r="G28" s="63">
        <f t="shared" ref="G28:M28" si="19">SUM(G12:G27)</f>
        <v>220</v>
      </c>
      <c r="H28" s="63">
        <f t="shared" si="19"/>
        <v>85780.84</v>
      </c>
      <c r="I28" s="63">
        <f t="shared" si="19"/>
        <v>34404</v>
      </c>
      <c r="J28" s="63">
        <f t="shared" si="19"/>
        <v>0</v>
      </c>
      <c r="K28" s="63">
        <f t="shared" si="19"/>
        <v>0</v>
      </c>
      <c r="L28" s="63">
        <f t="shared" si="19"/>
        <v>0</v>
      </c>
      <c r="M28" s="63">
        <f t="shared" si="19"/>
        <v>85780.84</v>
      </c>
      <c r="N28" s="63"/>
      <c r="O28" s="63"/>
      <c r="P28" s="63">
        <f t="shared" ref="P28:W28" si="20">SUM(P12:P27)</f>
        <v>13876.319000000003</v>
      </c>
      <c r="Q28" s="63">
        <f t="shared" si="20"/>
        <v>651.07657560000007</v>
      </c>
      <c r="R28" s="63">
        <f t="shared" si="20"/>
        <v>4816.5599999999995</v>
      </c>
      <c r="S28" s="63">
        <f t="shared" si="20"/>
        <v>4816.5599999999995</v>
      </c>
      <c r="T28" s="63">
        <f t="shared" si="20"/>
        <v>344.03999999999996</v>
      </c>
      <c r="U28" s="63">
        <f t="shared" si="20"/>
        <v>344.03999999999996</v>
      </c>
      <c r="V28" s="63">
        <f t="shared" si="20"/>
        <v>19687.995575599998</v>
      </c>
      <c r="W28" s="63">
        <f t="shared" si="20"/>
        <v>11828.615405499999</v>
      </c>
      <c r="X28" s="63">
        <f>SUM(X12:X27)</f>
        <v>77921.459829900006</v>
      </c>
      <c r="Y28" s="64"/>
    </row>
    <row r="29" spans="1:27" s="44" customFormat="1" ht="24.95" customHeight="1" x14ac:dyDescent="0.2">
      <c r="A29" s="59"/>
      <c r="B29" s="59"/>
      <c r="C29" s="65"/>
      <c r="D29" s="66"/>
      <c r="E29" s="67"/>
      <c r="F29" s="52"/>
      <c r="G29" s="68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8"/>
      <c r="Y29" s="66"/>
    </row>
    <row r="30" spans="1:27" s="66" customFormat="1" ht="24.95" customHeight="1" x14ac:dyDescent="0.25">
      <c r="C30" s="59"/>
      <c r="D30" s="59"/>
      <c r="E30" s="59" t="s">
        <v>114</v>
      </c>
      <c r="F30" s="68"/>
      <c r="G30" s="59"/>
      <c r="H30" s="59"/>
      <c r="I30" s="59"/>
      <c r="J30" s="59"/>
      <c r="K30" s="59"/>
      <c r="L30" s="59"/>
      <c r="M30" s="181"/>
      <c r="N30" s="150"/>
      <c r="O30" s="52">
        <f>X28</f>
        <v>77921.459829900006</v>
      </c>
      <c r="P30" s="59" t="s">
        <v>81</v>
      </c>
      <c r="Q30" s="59"/>
      <c r="R30" s="59"/>
      <c r="S30" s="59"/>
      <c r="T30" s="59"/>
      <c r="U30" s="59"/>
      <c r="V30" s="59"/>
      <c r="W30" s="59"/>
      <c r="X30" s="52"/>
      <c r="Y30" s="59"/>
    </row>
    <row r="31" spans="1:27" s="44" customFormat="1" ht="24.95" customHeight="1" x14ac:dyDescent="0.2">
      <c r="A31" s="59"/>
      <c r="B31" s="59"/>
      <c r="C31" s="59"/>
      <c r="D31" s="59"/>
      <c r="E31" s="59" t="s">
        <v>82</v>
      </c>
      <c r="F31" s="52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</row>
    <row r="32" spans="1:27" s="44" customFormat="1" ht="24.95" customHeight="1" x14ac:dyDescent="0.2">
      <c r="A32" s="59"/>
      <c r="B32" s="59"/>
      <c r="C32" s="59"/>
      <c r="D32" s="59"/>
      <c r="E32" s="59" t="s">
        <v>83</v>
      </c>
      <c r="F32" s="52" t="s">
        <v>90</v>
      </c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</row>
    <row r="33" spans="1:25" s="44" customFormat="1" ht="24.95" customHeight="1" x14ac:dyDescent="0.2">
      <c r="A33" s="59"/>
      <c r="B33" s="59"/>
      <c r="C33" s="59"/>
      <c r="D33" s="59"/>
      <c r="E33" s="59" t="s">
        <v>84</v>
      </c>
      <c r="F33" s="52"/>
      <c r="G33" s="59"/>
      <c r="H33" s="59"/>
      <c r="I33" s="59"/>
      <c r="J33" s="174"/>
      <c r="K33" s="182"/>
      <c r="L33" s="182"/>
      <c r="M33" s="182"/>
      <c r="N33" s="59"/>
      <c r="O33" s="59"/>
      <c r="P33" s="59"/>
      <c r="Q33" s="59"/>
      <c r="R33" s="59"/>
      <c r="S33" s="174" t="s">
        <v>91</v>
      </c>
      <c r="T33" s="174"/>
      <c r="U33" s="174"/>
      <c r="V33" s="174"/>
      <c r="W33" s="69"/>
      <c r="X33" s="59"/>
      <c r="Y33" s="59"/>
    </row>
    <row r="34" spans="1:25" s="44" customFormat="1" ht="24.95" customHeight="1" x14ac:dyDescent="0.2">
      <c r="A34" s="59"/>
      <c r="B34" s="59"/>
      <c r="C34" s="65"/>
      <c r="D34" s="65"/>
      <c r="E34" s="59"/>
      <c r="F34" s="52"/>
      <c r="G34" s="59"/>
      <c r="H34" s="59"/>
      <c r="I34" s="59"/>
      <c r="J34" s="174" t="s">
        <v>33</v>
      </c>
      <c r="K34" s="175"/>
      <c r="L34" s="174"/>
      <c r="M34" s="174"/>
      <c r="N34" s="59"/>
      <c r="O34" s="59"/>
      <c r="P34" s="59"/>
      <c r="Q34" s="59"/>
      <c r="R34" s="59"/>
      <c r="S34" s="174" t="s">
        <v>75</v>
      </c>
      <c r="T34" s="174"/>
      <c r="U34" s="174"/>
      <c r="V34" s="174"/>
      <c r="W34" s="69"/>
      <c r="X34" s="59"/>
      <c r="Y34" s="59"/>
    </row>
  </sheetData>
  <mergeCells count="33">
    <mergeCell ref="J34:M34"/>
    <mergeCell ref="S34:V34"/>
    <mergeCell ref="I9:I11"/>
    <mergeCell ref="L9:L11"/>
    <mergeCell ref="P9:P11"/>
    <mergeCell ref="Q9:Q11"/>
    <mergeCell ref="R9:R11"/>
    <mergeCell ref="S9:S11"/>
    <mergeCell ref="V7:V11"/>
    <mergeCell ref="T9:T11"/>
    <mergeCell ref="U9:U11"/>
    <mergeCell ref="M30:N30"/>
    <mergeCell ref="J33:M33"/>
    <mergeCell ref="S33:V33"/>
    <mergeCell ref="W7:W11"/>
    <mergeCell ref="X7:X11"/>
    <mergeCell ref="Y7:Y11"/>
    <mergeCell ref="B9:B11"/>
    <mergeCell ref="C9:C11"/>
    <mergeCell ref="E9:E11"/>
    <mergeCell ref="F9:F11"/>
    <mergeCell ref="G9:G11"/>
    <mergeCell ref="H9:H11"/>
    <mergeCell ref="E2:Q2"/>
    <mergeCell ref="A7:A11"/>
    <mergeCell ref="B7:E8"/>
    <mergeCell ref="F7:I8"/>
    <mergeCell ref="J7:J11"/>
    <mergeCell ref="K7:K11"/>
    <mergeCell ref="M7:M11"/>
    <mergeCell ref="N7:N11"/>
    <mergeCell ref="O7:O11"/>
    <mergeCell ref="P7:U8"/>
  </mergeCells>
  <pageMargins left="0.7" right="0.7" top="0.75" bottom="0.75" header="0.3" footer="0.3"/>
  <pageSetup paperSize="9" scale="41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45885-2C73-41F6-8FA5-12488BBA3EFB}">
  <dimension ref="A1:S20"/>
  <sheetViews>
    <sheetView tabSelected="1" view="pageBreakPreview" zoomScaleNormal="100" zoomScaleSheetLayoutView="100" workbookViewId="0">
      <selection activeCell="L3" sqref="L3"/>
    </sheetView>
  </sheetViews>
  <sheetFormatPr defaultRowHeight="15" x14ac:dyDescent="0.25"/>
  <cols>
    <col min="1" max="2" width="12.7109375" customWidth="1"/>
    <col min="3" max="3" width="11.5703125" customWidth="1"/>
    <col min="4" max="4" width="6.28515625" customWidth="1"/>
    <col min="5" max="5" width="9" customWidth="1"/>
    <col min="6" max="6" width="12.28515625" customWidth="1"/>
    <col min="7" max="7" width="3" customWidth="1"/>
    <col min="8" max="8" width="8" customWidth="1"/>
    <col min="9" max="9" width="10" customWidth="1"/>
    <col min="10" max="10" width="11" customWidth="1"/>
    <col min="11" max="11" width="16.28515625" customWidth="1"/>
    <col min="12" max="12" width="16.7109375" customWidth="1"/>
    <col min="13" max="13" width="13" customWidth="1"/>
    <col min="256" max="258" width="12.7109375" customWidth="1"/>
    <col min="259" max="259" width="14.28515625" customWidth="1"/>
    <col min="260" max="260" width="12.7109375" customWidth="1"/>
    <col min="261" max="261" width="14" customWidth="1"/>
    <col min="262" max="262" width="3" customWidth="1"/>
    <col min="263" max="263" width="12.7109375" customWidth="1"/>
    <col min="264" max="264" width="14.7109375" customWidth="1"/>
    <col min="265" max="268" width="12.7109375" customWidth="1"/>
    <col min="269" max="269" width="11.140625" bestFit="1" customWidth="1"/>
    <col min="512" max="514" width="12.7109375" customWidth="1"/>
    <col min="515" max="515" width="14.28515625" customWidth="1"/>
    <col min="516" max="516" width="12.7109375" customWidth="1"/>
    <col min="517" max="517" width="14" customWidth="1"/>
    <col min="518" max="518" width="3" customWidth="1"/>
    <col min="519" max="519" width="12.7109375" customWidth="1"/>
    <col min="520" max="520" width="14.7109375" customWidth="1"/>
    <col min="521" max="524" width="12.7109375" customWidth="1"/>
    <col min="525" max="525" width="11.140625" bestFit="1" customWidth="1"/>
    <col min="768" max="770" width="12.7109375" customWidth="1"/>
    <col min="771" max="771" width="14.28515625" customWidth="1"/>
    <col min="772" max="772" width="12.7109375" customWidth="1"/>
    <col min="773" max="773" width="14" customWidth="1"/>
    <col min="774" max="774" width="3" customWidth="1"/>
    <col min="775" max="775" width="12.7109375" customWidth="1"/>
    <col min="776" max="776" width="14.7109375" customWidth="1"/>
    <col min="777" max="780" width="12.7109375" customWidth="1"/>
    <col min="781" max="781" width="11.140625" bestFit="1" customWidth="1"/>
    <col min="1024" max="1026" width="12.7109375" customWidth="1"/>
    <col min="1027" max="1027" width="14.28515625" customWidth="1"/>
    <col min="1028" max="1028" width="12.7109375" customWidth="1"/>
    <col min="1029" max="1029" width="14" customWidth="1"/>
    <col min="1030" max="1030" width="3" customWidth="1"/>
    <col min="1031" max="1031" width="12.7109375" customWidth="1"/>
    <col min="1032" max="1032" width="14.7109375" customWidth="1"/>
    <col min="1033" max="1036" width="12.7109375" customWidth="1"/>
    <col min="1037" max="1037" width="11.140625" bestFit="1" customWidth="1"/>
    <col min="1280" max="1282" width="12.7109375" customWidth="1"/>
    <col min="1283" max="1283" width="14.28515625" customWidth="1"/>
    <col min="1284" max="1284" width="12.7109375" customWidth="1"/>
    <col min="1285" max="1285" width="14" customWidth="1"/>
    <col min="1286" max="1286" width="3" customWidth="1"/>
    <col min="1287" max="1287" width="12.7109375" customWidth="1"/>
    <col min="1288" max="1288" width="14.7109375" customWidth="1"/>
    <col min="1289" max="1292" width="12.7109375" customWidth="1"/>
    <col min="1293" max="1293" width="11.140625" bestFit="1" customWidth="1"/>
    <col min="1536" max="1538" width="12.7109375" customWidth="1"/>
    <col min="1539" max="1539" width="14.28515625" customWidth="1"/>
    <col min="1540" max="1540" width="12.7109375" customWidth="1"/>
    <col min="1541" max="1541" width="14" customWidth="1"/>
    <col min="1542" max="1542" width="3" customWidth="1"/>
    <col min="1543" max="1543" width="12.7109375" customWidth="1"/>
    <col min="1544" max="1544" width="14.7109375" customWidth="1"/>
    <col min="1545" max="1548" width="12.7109375" customWidth="1"/>
    <col min="1549" max="1549" width="11.140625" bestFit="1" customWidth="1"/>
    <col min="1792" max="1794" width="12.7109375" customWidth="1"/>
    <col min="1795" max="1795" width="14.28515625" customWidth="1"/>
    <col min="1796" max="1796" width="12.7109375" customWidth="1"/>
    <col min="1797" max="1797" width="14" customWidth="1"/>
    <col min="1798" max="1798" width="3" customWidth="1"/>
    <col min="1799" max="1799" width="12.7109375" customWidth="1"/>
    <col min="1800" max="1800" width="14.7109375" customWidth="1"/>
    <col min="1801" max="1804" width="12.7109375" customWidth="1"/>
    <col min="1805" max="1805" width="11.140625" bestFit="1" customWidth="1"/>
    <col min="2048" max="2050" width="12.7109375" customWidth="1"/>
    <col min="2051" max="2051" width="14.28515625" customWidth="1"/>
    <col min="2052" max="2052" width="12.7109375" customWidth="1"/>
    <col min="2053" max="2053" width="14" customWidth="1"/>
    <col min="2054" max="2054" width="3" customWidth="1"/>
    <col min="2055" max="2055" width="12.7109375" customWidth="1"/>
    <col min="2056" max="2056" width="14.7109375" customWidth="1"/>
    <col min="2057" max="2060" width="12.7109375" customWidth="1"/>
    <col min="2061" max="2061" width="11.140625" bestFit="1" customWidth="1"/>
    <col min="2304" max="2306" width="12.7109375" customWidth="1"/>
    <col min="2307" max="2307" width="14.28515625" customWidth="1"/>
    <col min="2308" max="2308" width="12.7109375" customWidth="1"/>
    <col min="2309" max="2309" width="14" customWidth="1"/>
    <col min="2310" max="2310" width="3" customWidth="1"/>
    <col min="2311" max="2311" width="12.7109375" customWidth="1"/>
    <col min="2312" max="2312" width="14.7109375" customWidth="1"/>
    <col min="2313" max="2316" width="12.7109375" customWidth="1"/>
    <col min="2317" max="2317" width="11.140625" bestFit="1" customWidth="1"/>
    <col min="2560" max="2562" width="12.7109375" customWidth="1"/>
    <col min="2563" max="2563" width="14.28515625" customWidth="1"/>
    <col min="2564" max="2564" width="12.7109375" customWidth="1"/>
    <col min="2565" max="2565" width="14" customWidth="1"/>
    <col min="2566" max="2566" width="3" customWidth="1"/>
    <col min="2567" max="2567" width="12.7109375" customWidth="1"/>
    <col min="2568" max="2568" width="14.7109375" customWidth="1"/>
    <col min="2569" max="2572" width="12.7109375" customWidth="1"/>
    <col min="2573" max="2573" width="11.140625" bestFit="1" customWidth="1"/>
    <col min="2816" max="2818" width="12.7109375" customWidth="1"/>
    <col min="2819" max="2819" width="14.28515625" customWidth="1"/>
    <col min="2820" max="2820" width="12.7109375" customWidth="1"/>
    <col min="2821" max="2821" width="14" customWidth="1"/>
    <col min="2822" max="2822" width="3" customWidth="1"/>
    <col min="2823" max="2823" width="12.7109375" customWidth="1"/>
    <col min="2824" max="2824" width="14.7109375" customWidth="1"/>
    <col min="2825" max="2828" width="12.7109375" customWidth="1"/>
    <col min="2829" max="2829" width="11.140625" bestFit="1" customWidth="1"/>
    <col min="3072" max="3074" width="12.7109375" customWidth="1"/>
    <col min="3075" max="3075" width="14.28515625" customWidth="1"/>
    <col min="3076" max="3076" width="12.7109375" customWidth="1"/>
    <col min="3077" max="3077" width="14" customWidth="1"/>
    <col min="3078" max="3078" width="3" customWidth="1"/>
    <col min="3079" max="3079" width="12.7109375" customWidth="1"/>
    <col min="3080" max="3080" width="14.7109375" customWidth="1"/>
    <col min="3081" max="3084" width="12.7109375" customWidth="1"/>
    <col min="3085" max="3085" width="11.140625" bestFit="1" customWidth="1"/>
    <col min="3328" max="3330" width="12.7109375" customWidth="1"/>
    <col min="3331" max="3331" width="14.28515625" customWidth="1"/>
    <col min="3332" max="3332" width="12.7109375" customWidth="1"/>
    <col min="3333" max="3333" width="14" customWidth="1"/>
    <col min="3334" max="3334" width="3" customWidth="1"/>
    <col min="3335" max="3335" width="12.7109375" customWidth="1"/>
    <col min="3336" max="3336" width="14.7109375" customWidth="1"/>
    <col min="3337" max="3340" width="12.7109375" customWidth="1"/>
    <col min="3341" max="3341" width="11.140625" bestFit="1" customWidth="1"/>
    <col min="3584" max="3586" width="12.7109375" customWidth="1"/>
    <col min="3587" max="3587" width="14.28515625" customWidth="1"/>
    <col min="3588" max="3588" width="12.7109375" customWidth="1"/>
    <col min="3589" max="3589" width="14" customWidth="1"/>
    <col min="3590" max="3590" width="3" customWidth="1"/>
    <col min="3591" max="3591" width="12.7109375" customWidth="1"/>
    <col min="3592" max="3592" width="14.7109375" customWidth="1"/>
    <col min="3593" max="3596" width="12.7109375" customWidth="1"/>
    <col min="3597" max="3597" width="11.140625" bestFit="1" customWidth="1"/>
    <col min="3840" max="3842" width="12.7109375" customWidth="1"/>
    <col min="3843" max="3843" width="14.28515625" customWidth="1"/>
    <col min="3844" max="3844" width="12.7109375" customWidth="1"/>
    <col min="3845" max="3845" width="14" customWidth="1"/>
    <col min="3846" max="3846" width="3" customWidth="1"/>
    <col min="3847" max="3847" width="12.7109375" customWidth="1"/>
    <col min="3848" max="3848" width="14.7109375" customWidth="1"/>
    <col min="3849" max="3852" width="12.7109375" customWidth="1"/>
    <col min="3853" max="3853" width="11.140625" bestFit="1" customWidth="1"/>
    <col min="4096" max="4098" width="12.7109375" customWidth="1"/>
    <col min="4099" max="4099" width="14.28515625" customWidth="1"/>
    <col min="4100" max="4100" width="12.7109375" customWidth="1"/>
    <col min="4101" max="4101" width="14" customWidth="1"/>
    <col min="4102" max="4102" width="3" customWidth="1"/>
    <col min="4103" max="4103" width="12.7109375" customWidth="1"/>
    <col min="4104" max="4104" width="14.7109375" customWidth="1"/>
    <col min="4105" max="4108" width="12.7109375" customWidth="1"/>
    <col min="4109" max="4109" width="11.140625" bestFit="1" customWidth="1"/>
    <col min="4352" max="4354" width="12.7109375" customWidth="1"/>
    <col min="4355" max="4355" width="14.28515625" customWidth="1"/>
    <col min="4356" max="4356" width="12.7109375" customWidth="1"/>
    <col min="4357" max="4357" width="14" customWidth="1"/>
    <col min="4358" max="4358" width="3" customWidth="1"/>
    <col min="4359" max="4359" width="12.7109375" customWidth="1"/>
    <col min="4360" max="4360" width="14.7109375" customWidth="1"/>
    <col min="4361" max="4364" width="12.7109375" customWidth="1"/>
    <col min="4365" max="4365" width="11.140625" bestFit="1" customWidth="1"/>
    <col min="4608" max="4610" width="12.7109375" customWidth="1"/>
    <col min="4611" max="4611" width="14.28515625" customWidth="1"/>
    <col min="4612" max="4612" width="12.7109375" customWidth="1"/>
    <col min="4613" max="4613" width="14" customWidth="1"/>
    <col min="4614" max="4614" width="3" customWidth="1"/>
    <col min="4615" max="4615" width="12.7109375" customWidth="1"/>
    <col min="4616" max="4616" width="14.7109375" customWidth="1"/>
    <col min="4617" max="4620" width="12.7109375" customWidth="1"/>
    <col min="4621" max="4621" width="11.140625" bestFit="1" customWidth="1"/>
    <col min="4864" max="4866" width="12.7109375" customWidth="1"/>
    <col min="4867" max="4867" width="14.28515625" customWidth="1"/>
    <col min="4868" max="4868" width="12.7109375" customWidth="1"/>
    <col min="4869" max="4869" width="14" customWidth="1"/>
    <col min="4870" max="4870" width="3" customWidth="1"/>
    <col min="4871" max="4871" width="12.7109375" customWidth="1"/>
    <col min="4872" max="4872" width="14.7109375" customWidth="1"/>
    <col min="4873" max="4876" width="12.7109375" customWidth="1"/>
    <col min="4877" max="4877" width="11.140625" bestFit="1" customWidth="1"/>
    <col min="5120" max="5122" width="12.7109375" customWidth="1"/>
    <col min="5123" max="5123" width="14.28515625" customWidth="1"/>
    <col min="5124" max="5124" width="12.7109375" customWidth="1"/>
    <col min="5125" max="5125" width="14" customWidth="1"/>
    <col min="5126" max="5126" width="3" customWidth="1"/>
    <col min="5127" max="5127" width="12.7109375" customWidth="1"/>
    <col min="5128" max="5128" width="14.7109375" customWidth="1"/>
    <col min="5129" max="5132" width="12.7109375" customWidth="1"/>
    <col min="5133" max="5133" width="11.140625" bestFit="1" customWidth="1"/>
    <col min="5376" max="5378" width="12.7109375" customWidth="1"/>
    <col min="5379" max="5379" width="14.28515625" customWidth="1"/>
    <col min="5380" max="5380" width="12.7109375" customWidth="1"/>
    <col min="5381" max="5381" width="14" customWidth="1"/>
    <col min="5382" max="5382" width="3" customWidth="1"/>
    <col min="5383" max="5383" width="12.7109375" customWidth="1"/>
    <col min="5384" max="5384" width="14.7109375" customWidth="1"/>
    <col min="5385" max="5388" width="12.7109375" customWidth="1"/>
    <col min="5389" max="5389" width="11.140625" bestFit="1" customWidth="1"/>
    <col min="5632" max="5634" width="12.7109375" customWidth="1"/>
    <col min="5635" max="5635" width="14.28515625" customWidth="1"/>
    <col min="5636" max="5636" width="12.7109375" customWidth="1"/>
    <col min="5637" max="5637" width="14" customWidth="1"/>
    <col min="5638" max="5638" width="3" customWidth="1"/>
    <col min="5639" max="5639" width="12.7109375" customWidth="1"/>
    <col min="5640" max="5640" width="14.7109375" customWidth="1"/>
    <col min="5641" max="5644" width="12.7109375" customWidth="1"/>
    <col min="5645" max="5645" width="11.140625" bestFit="1" customWidth="1"/>
    <col min="5888" max="5890" width="12.7109375" customWidth="1"/>
    <col min="5891" max="5891" width="14.28515625" customWidth="1"/>
    <col min="5892" max="5892" width="12.7109375" customWidth="1"/>
    <col min="5893" max="5893" width="14" customWidth="1"/>
    <col min="5894" max="5894" width="3" customWidth="1"/>
    <col min="5895" max="5895" width="12.7109375" customWidth="1"/>
    <col min="5896" max="5896" width="14.7109375" customWidth="1"/>
    <col min="5897" max="5900" width="12.7109375" customWidth="1"/>
    <col min="5901" max="5901" width="11.140625" bestFit="1" customWidth="1"/>
    <col min="6144" max="6146" width="12.7109375" customWidth="1"/>
    <col min="6147" max="6147" width="14.28515625" customWidth="1"/>
    <col min="6148" max="6148" width="12.7109375" customWidth="1"/>
    <col min="6149" max="6149" width="14" customWidth="1"/>
    <col min="6150" max="6150" width="3" customWidth="1"/>
    <col min="6151" max="6151" width="12.7109375" customWidth="1"/>
    <col min="6152" max="6152" width="14.7109375" customWidth="1"/>
    <col min="6153" max="6156" width="12.7109375" customWidth="1"/>
    <col min="6157" max="6157" width="11.140625" bestFit="1" customWidth="1"/>
    <col min="6400" max="6402" width="12.7109375" customWidth="1"/>
    <col min="6403" max="6403" width="14.28515625" customWidth="1"/>
    <col min="6404" max="6404" width="12.7109375" customWidth="1"/>
    <col min="6405" max="6405" width="14" customWidth="1"/>
    <col min="6406" max="6406" width="3" customWidth="1"/>
    <col min="6407" max="6407" width="12.7109375" customWidth="1"/>
    <col min="6408" max="6408" width="14.7109375" customWidth="1"/>
    <col min="6409" max="6412" width="12.7109375" customWidth="1"/>
    <col min="6413" max="6413" width="11.140625" bestFit="1" customWidth="1"/>
    <col min="6656" max="6658" width="12.7109375" customWidth="1"/>
    <col min="6659" max="6659" width="14.28515625" customWidth="1"/>
    <col min="6660" max="6660" width="12.7109375" customWidth="1"/>
    <col min="6661" max="6661" width="14" customWidth="1"/>
    <col min="6662" max="6662" width="3" customWidth="1"/>
    <col min="6663" max="6663" width="12.7109375" customWidth="1"/>
    <col min="6664" max="6664" width="14.7109375" customWidth="1"/>
    <col min="6665" max="6668" width="12.7109375" customWidth="1"/>
    <col min="6669" max="6669" width="11.140625" bestFit="1" customWidth="1"/>
    <col min="6912" max="6914" width="12.7109375" customWidth="1"/>
    <col min="6915" max="6915" width="14.28515625" customWidth="1"/>
    <col min="6916" max="6916" width="12.7109375" customWidth="1"/>
    <col min="6917" max="6917" width="14" customWidth="1"/>
    <col min="6918" max="6918" width="3" customWidth="1"/>
    <col min="6919" max="6919" width="12.7109375" customWidth="1"/>
    <col min="6920" max="6920" width="14.7109375" customWidth="1"/>
    <col min="6921" max="6924" width="12.7109375" customWidth="1"/>
    <col min="6925" max="6925" width="11.140625" bestFit="1" customWidth="1"/>
    <col min="7168" max="7170" width="12.7109375" customWidth="1"/>
    <col min="7171" max="7171" width="14.28515625" customWidth="1"/>
    <col min="7172" max="7172" width="12.7109375" customWidth="1"/>
    <col min="7173" max="7173" width="14" customWidth="1"/>
    <col min="7174" max="7174" width="3" customWidth="1"/>
    <col min="7175" max="7175" width="12.7109375" customWidth="1"/>
    <col min="7176" max="7176" width="14.7109375" customWidth="1"/>
    <col min="7177" max="7180" width="12.7109375" customWidth="1"/>
    <col min="7181" max="7181" width="11.140625" bestFit="1" customWidth="1"/>
    <col min="7424" max="7426" width="12.7109375" customWidth="1"/>
    <col min="7427" max="7427" width="14.28515625" customWidth="1"/>
    <col min="7428" max="7428" width="12.7109375" customWidth="1"/>
    <col min="7429" max="7429" width="14" customWidth="1"/>
    <col min="7430" max="7430" width="3" customWidth="1"/>
    <col min="7431" max="7431" width="12.7109375" customWidth="1"/>
    <col min="7432" max="7432" width="14.7109375" customWidth="1"/>
    <col min="7433" max="7436" width="12.7109375" customWidth="1"/>
    <col min="7437" max="7437" width="11.140625" bestFit="1" customWidth="1"/>
    <col min="7680" max="7682" width="12.7109375" customWidth="1"/>
    <col min="7683" max="7683" width="14.28515625" customWidth="1"/>
    <col min="7684" max="7684" width="12.7109375" customWidth="1"/>
    <col min="7685" max="7685" width="14" customWidth="1"/>
    <col min="7686" max="7686" width="3" customWidth="1"/>
    <col min="7687" max="7687" width="12.7109375" customWidth="1"/>
    <col min="7688" max="7688" width="14.7109375" customWidth="1"/>
    <col min="7689" max="7692" width="12.7109375" customWidth="1"/>
    <col min="7693" max="7693" width="11.140625" bestFit="1" customWidth="1"/>
    <col min="7936" max="7938" width="12.7109375" customWidth="1"/>
    <col min="7939" max="7939" width="14.28515625" customWidth="1"/>
    <col min="7940" max="7940" width="12.7109375" customWidth="1"/>
    <col min="7941" max="7941" width="14" customWidth="1"/>
    <col min="7942" max="7942" width="3" customWidth="1"/>
    <col min="7943" max="7943" width="12.7109375" customWidth="1"/>
    <col min="7944" max="7944" width="14.7109375" customWidth="1"/>
    <col min="7945" max="7948" width="12.7109375" customWidth="1"/>
    <col min="7949" max="7949" width="11.140625" bestFit="1" customWidth="1"/>
    <col min="8192" max="8194" width="12.7109375" customWidth="1"/>
    <col min="8195" max="8195" width="14.28515625" customWidth="1"/>
    <col min="8196" max="8196" width="12.7109375" customWidth="1"/>
    <col min="8197" max="8197" width="14" customWidth="1"/>
    <col min="8198" max="8198" width="3" customWidth="1"/>
    <col min="8199" max="8199" width="12.7109375" customWidth="1"/>
    <col min="8200" max="8200" width="14.7109375" customWidth="1"/>
    <col min="8201" max="8204" width="12.7109375" customWidth="1"/>
    <col min="8205" max="8205" width="11.140625" bestFit="1" customWidth="1"/>
    <col min="8448" max="8450" width="12.7109375" customWidth="1"/>
    <col min="8451" max="8451" width="14.28515625" customWidth="1"/>
    <col min="8452" max="8452" width="12.7109375" customWidth="1"/>
    <col min="8453" max="8453" width="14" customWidth="1"/>
    <col min="8454" max="8454" width="3" customWidth="1"/>
    <col min="8455" max="8455" width="12.7109375" customWidth="1"/>
    <col min="8456" max="8456" width="14.7109375" customWidth="1"/>
    <col min="8457" max="8460" width="12.7109375" customWidth="1"/>
    <col min="8461" max="8461" width="11.140625" bestFit="1" customWidth="1"/>
    <col min="8704" max="8706" width="12.7109375" customWidth="1"/>
    <col min="8707" max="8707" width="14.28515625" customWidth="1"/>
    <col min="8708" max="8708" width="12.7109375" customWidth="1"/>
    <col min="8709" max="8709" width="14" customWidth="1"/>
    <col min="8710" max="8710" width="3" customWidth="1"/>
    <col min="8711" max="8711" width="12.7109375" customWidth="1"/>
    <col min="8712" max="8712" width="14.7109375" customWidth="1"/>
    <col min="8713" max="8716" width="12.7109375" customWidth="1"/>
    <col min="8717" max="8717" width="11.140625" bestFit="1" customWidth="1"/>
    <col min="8960" max="8962" width="12.7109375" customWidth="1"/>
    <col min="8963" max="8963" width="14.28515625" customWidth="1"/>
    <col min="8964" max="8964" width="12.7109375" customWidth="1"/>
    <col min="8965" max="8965" width="14" customWidth="1"/>
    <col min="8966" max="8966" width="3" customWidth="1"/>
    <col min="8967" max="8967" width="12.7109375" customWidth="1"/>
    <col min="8968" max="8968" width="14.7109375" customWidth="1"/>
    <col min="8969" max="8972" width="12.7109375" customWidth="1"/>
    <col min="8973" max="8973" width="11.140625" bestFit="1" customWidth="1"/>
    <col min="9216" max="9218" width="12.7109375" customWidth="1"/>
    <col min="9219" max="9219" width="14.28515625" customWidth="1"/>
    <col min="9220" max="9220" width="12.7109375" customWidth="1"/>
    <col min="9221" max="9221" width="14" customWidth="1"/>
    <col min="9222" max="9222" width="3" customWidth="1"/>
    <col min="9223" max="9223" width="12.7109375" customWidth="1"/>
    <col min="9224" max="9224" width="14.7109375" customWidth="1"/>
    <col min="9225" max="9228" width="12.7109375" customWidth="1"/>
    <col min="9229" max="9229" width="11.140625" bestFit="1" customWidth="1"/>
    <col min="9472" max="9474" width="12.7109375" customWidth="1"/>
    <col min="9475" max="9475" width="14.28515625" customWidth="1"/>
    <col min="9476" max="9476" width="12.7109375" customWidth="1"/>
    <col min="9477" max="9477" width="14" customWidth="1"/>
    <col min="9478" max="9478" width="3" customWidth="1"/>
    <col min="9479" max="9479" width="12.7109375" customWidth="1"/>
    <col min="9480" max="9480" width="14.7109375" customWidth="1"/>
    <col min="9481" max="9484" width="12.7109375" customWidth="1"/>
    <col min="9485" max="9485" width="11.140625" bestFit="1" customWidth="1"/>
    <col min="9728" max="9730" width="12.7109375" customWidth="1"/>
    <col min="9731" max="9731" width="14.28515625" customWidth="1"/>
    <col min="9732" max="9732" width="12.7109375" customWidth="1"/>
    <col min="9733" max="9733" width="14" customWidth="1"/>
    <col min="9734" max="9734" width="3" customWidth="1"/>
    <col min="9735" max="9735" width="12.7109375" customWidth="1"/>
    <col min="9736" max="9736" width="14.7109375" customWidth="1"/>
    <col min="9737" max="9740" width="12.7109375" customWidth="1"/>
    <col min="9741" max="9741" width="11.140625" bestFit="1" customWidth="1"/>
    <col min="9984" max="9986" width="12.7109375" customWidth="1"/>
    <col min="9987" max="9987" width="14.28515625" customWidth="1"/>
    <col min="9988" max="9988" width="12.7109375" customWidth="1"/>
    <col min="9989" max="9989" width="14" customWidth="1"/>
    <col min="9990" max="9990" width="3" customWidth="1"/>
    <col min="9991" max="9991" width="12.7109375" customWidth="1"/>
    <col min="9992" max="9992" width="14.7109375" customWidth="1"/>
    <col min="9993" max="9996" width="12.7109375" customWidth="1"/>
    <col min="9997" max="9997" width="11.140625" bestFit="1" customWidth="1"/>
    <col min="10240" max="10242" width="12.7109375" customWidth="1"/>
    <col min="10243" max="10243" width="14.28515625" customWidth="1"/>
    <col min="10244" max="10244" width="12.7109375" customWidth="1"/>
    <col min="10245" max="10245" width="14" customWidth="1"/>
    <col min="10246" max="10246" width="3" customWidth="1"/>
    <col min="10247" max="10247" width="12.7109375" customWidth="1"/>
    <col min="10248" max="10248" width="14.7109375" customWidth="1"/>
    <col min="10249" max="10252" width="12.7109375" customWidth="1"/>
    <col min="10253" max="10253" width="11.140625" bestFit="1" customWidth="1"/>
    <col min="10496" max="10498" width="12.7109375" customWidth="1"/>
    <col min="10499" max="10499" width="14.28515625" customWidth="1"/>
    <col min="10500" max="10500" width="12.7109375" customWidth="1"/>
    <col min="10501" max="10501" width="14" customWidth="1"/>
    <col min="10502" max="10502" width="3" customWidth="1"/>
    <col min="10503" max="10503" width="12.7109375" customWidth="1"/>
    <col min="10504" max="10504" width="14.7109375" customWidth="1"/>
    <col min="10505" max="10508" width="12.7109375" customWidth="1"/>
    <col min="10509" max="10509" width="11.140625" bestFit="1" customWidth="1"/>
    <col min="10752" max="10754" width="12.7109375" customWidth="1"/>
    <col min="10755" max="10755" width="14.28515625" customWidth="1"/>
    <col min="10756" max="10756" width="12.7109375" customWidth="1"/>
    <col min="10757" max="10757" width="14" customWidth="1"/>
    <col min="10758" max="10758" width="3" customWidth="1"/>
    <col min="10759" max="10759" width="12.7109375" customWidth="1"/>
    <col min="10760" max="10760" width="14.7109375" customWidth="1"/>
    <col min="10761" max="10764" width="12.7109375" customWidth="1"/>
    <col min="10765" max="10765" width="11.140625" bestFit="1" customWidth="1"/>
    <col min="11008" max="11010" width="12.7109375" customWidth="1"/>
    <col min="11011" max="11011" width="14.28515625" customWidth="1"/>
    <col min="11012" max="11012" width="12.7109375" customWidth="1"/>
    <col min="11013" max="11013" width="14" customWidth="1"/>
    <col min="11014" max="11014" width="3" customWidth="1"/>
    <col min="11015" max="11015" width="12.7109375" customWidth="1"/>
    <col min="11016" max="11016" width="14.7109375" customWidth="1"/>
    <col min="11017" max="11020" width="12.7109375" customWidth="1"/>
    <col min="11021" max="11021" width="11.140625" bestFit="1" customWidth="1"/>
    <col min="11264" max="11266" width="12.7109375" customWidth="1"/>
    <col min="11267" max="11267" width="14.28515625" customWidth="1"/>
    <col min="11268" max="11268" width="12.7109375" customWidth="1"/>
    <col min="11269" max="11269" width="14" customWidth="1"/>
    <col min="11270" max="11270" width="3" customWidth="1"/>
    <col min="11271" max="11271" width="12.7109375" customWidth="1"/>
    <col min="11272" max="11272" width="14.7109375" customWidth="1"/>
    <col min="11273" max="11276" width="12.7109375" customWidth="1"/>
    <col min="11277" max="11277" width="11.140625" bestFit="1" customWidth="1"/>
    <col min="11520" max="11522" width="12.7109375" customWidth="1"/>
    <col min="11523" max="11523" width="14.28515625" customWidth="1"/>
    <col min="11524" max="11524" width="12.7109375" customWidth="1"/>
    <col min="11525" max="11525" width="14" customWidth="1"/>
    <col min="11526" max="11526" width="3" customWidth="1"/>
    <col min="11527" max="11527" width="12.7109375" customWidth="1"/>
    <col min="11528" max="11528" width="14.7109375" customWidth="1"/>
    <col min="11529" max="11532" width="12.7109375" customWidth="1"/>
    <col min="11533" max="11533" width="11.140625" bestFit="1" customWidth="1"/>
    <col min="11776" max="11778" width="12.7109375" customWidth="1"/>
    <col min="11779" max="11779" width="14.28515625" customWidth="1"/>
    <col min="11780" max="11780" width="12.7109375" customWidth="1"/>
    <col min="11781" max="11781" width="14" customWidth="1"/>
    <col min="11782" max="11782" width="3" customWidth="1"/>
    <col min="11783" max="11783" width="12.7109375" customWidth="1"/>
    <col min="11784" max="11784" width="14.7109375" customWidth="1"/>
    <col min="11785" max="11788" width="12.7109375" customWidth="1"/>
    <col min="11789" max="11789" width="11.140625" bestFit="1" customWidth="1"/>
    <col min="12032" max="12034" width="12.7109375" customWidth="1"/>
    <col min="12035" max="12035" width="14.28515625" customWidth="1"/>
    <col min="12036" max="12036" width="12.7109375" customWidth="1"/>
    <col min="12037" max="12037" width="14" customWidth="1"/>
    <col min="12038" max="12038" width="3" customWidth="1"/>
    <col min="12039" max="12039" width="12.7109375" customWidth="1"/>
    <col min="12040" max="12040" width="14.7109375" customWidth="1"/>
    <col min="12041" max="12044" width="12.7109375" customWidth="1"/>
    <col min="12045" max="12045" width="11.140625" bestFit="1" customWidth="1"/>
    <col min="12288" max="12290" width="12.7109375" customWidth="1"/>
    <col min="12291" max="12291" width="14.28515625" customWidth="1"/>
    <col min="12292" max="12292" width="12.7109375" customWidth="1"/>
    <col min="12293" max="12293" width="14" customWidth="1"/>
    <col min="12294" max="12294" width="3" customWidth="1"/>
    <col min="12295" max="12295" width="12.7109375" customWidth="1"/>
    <col min="12296" max="12296" width="14.7109375" customWidth="1"/>
    <col min="12297" max="12300" width="12.7109375" customWidth="1"/>
    <col min="12301" max="12301" width="11.140625" bestFit="1" customWidth="1"/>
    <col min="12544" max="12546" width="12.7109375" customWidth="1"/>
    <col min="12547" max="12547" width="14.28515625" customWidth="1"/>
    <col min="12548" max="12548" width="12.7109375" customWidth="1"/>
    <col min="12549" max="12549" width="14" customWidth="1"/>
    <col min="12550" max="12550" width="3" customWidth="1"/>
    <col min="12551" max="12551" width="12.7109375" customWidth="1"/>
    <col min="12552" max="12552" width="14.7109375" customWidth="1"/>
    <col min="12553" max="12556" width="12.7109375" customWidth="1"/>
    <col min="12557" max="12557" width="11.140625" bestFit="1" customWidth="1"/>
    <col min="12800" max="12802" width="12.7109375" customWidth="1"/>
    <col min="12803" max="12803" width="14.28515625" customWidth="1"/>
    <col min="12804" max="12804" width="12.7109375" customWidth="1"/>
    <col min="12805" max="12805" width="14" customWidth="1"/>
    <col min="12806" max="12806" width="3" customWidth="1"/>
    <col min="12807" max="12807" width="12.7109375" customWidth="1"/>
    <col min="12808" max="12808" width="14.7109375" customWidth="1"/>
    <col min="12809" max="12812" width="12.7109375" customWidth="1"/>
    <col min="12813" max="12813" width="11.140625" bestFit="1" customWidth="1"/>
    <col min="13056" max="13058" width="12.7109375" customWidth="1"/>
    <col min="13059" max="13059" width="14.28515625" customWidth="1"/>
    <col min="13060" max="13060" width="12.7109375" customWidth="1"/>
    <col min="13061" max="13061" width="14" customWidth="1"/>
    <col min="13062" max="13062" width="3" customWidth="1"/>
    <col min="13063" max="13063" width="12.7109375" customWidth="1"/>
    <col min="13064" max="13064" width="14.7109375" customWidth="1"/>
    <col min="13065" max="13068" width="12.7109375" customWidth="1"/>
    <col min="13069" max="13069" width="11.140625" bestFit="1" customWidth="1"/>
    <col min="13312" max="13314" width="12.7109375" customWidth="1"/>
    <col min="13315" max="13315" width="14.28515625" customWidth="1"/>
    <col min="13316" max="13316" width="12.7109375" customWidth="1"/>
    <col min="13317" max="13317" width="14" customWidth="1"/>
    <col min="13318" max="13318" width="3" customWidth="1"/>
    <col min="13319" max="13319" width="12.7109375" customWidth="1"/>
    <col min="13320" max="13320" width="14.7109375" customWidth="1"/>
    <col min="13321" max="13324" width="12.7109375" customWidth="1"/>
    <col min="13325" max="13325" width="11.140625" bestFit="1" customWidth="1"/>
    <col min="13568" max="13570" width="12.7109375" customWidth="1"/>
    <col min="13571" max="13571" width="14.28515625" customWidth="1"/>
    <col min="13572" max="13572" width="12.7109375" customWidth="1"/>
    <col min="13573" max="13573" width="14" customWidth="1"/>
    <col min="13574" max="13574" width="3" customWidth="1"/>
    <col min="13575" max="13575" width="12.7109375" customWidth="1"/>
    <col min="13576" max="13576" width="14.7109375" customWidth="1"/>
    <col min="13577" max="13580" width="12.7109375" customWidth="1"/>
    <col min="13581" max="13581" width="11.140625" bestFit="1" customWidth="1"/>
    <col min="13824" max="13826" width="12.7109375" customWidth="1"/>
    <col min="13827" max="13827" width="14.28515625" customWidth="1"/>
    <col min="13828" max="13828" width="12.7109375" customWidth="1"/>
    <col min="13829" max="13829" width="14" customWidth="1"/>
    <col min="13830" max="13830" width="3" customWidth="1"/>
    <col min="13831" max="13831" width="12.7109375" customWidth="1"/>
    <col min="13832" max="13832" width="14.7109375" customWidth="1"/>
    <col min="13833" max="13836" width="12.7109375" customWidth="1"/>
    <col min="13837" max="13837" width="11.140625" bestFit="1" customWidth="1"/>
    <col min="14080" max="14082" width="12.7109375" customWidth="1"/>
    <col min="14083" max="14083" width="14.28515625" customWidth="1"/>
    <col min="14084" max="14084" width="12.7109375" customWidth="1"/>
    <col min="14085" max="14085" width="14" customWidth="1"/>
    <col min="14086" max="14086" width="3" customWidth="1"/>
    <col min="14087" max="14087" width="12.7109375" customWidth="1"/>
    <col min="14088" max="14088" width="14.7109375" customWidth="1"/>
    <col min="14089" max="14092" width="12.7109375" customWidth="1"/>
    <col min="14093" max="14093" width="11.140625" bestFit="1" customWidth="1"/>
    <col min="14336" max="14338" width="12.7109375" customWidth="1"/>
    <col min="14339" max="14339" width="14.28515625" customWidth="1"/>
    <col min="14340" max="14340" width="12.7109375" customWidth="1"/>
    <col min="14341" max="14341" width="14" customWidth="1"/>
    <col min="14342" max="14342" width="3" customWidth="1"/>
    <col min="14343" max="14343" width="12.7109375" customWidth="1"/>
    <col min="14344" max="14344" width="14.7109375" customWidth="1"/>
    <col min="14345" max="14348" width="12.7109375" customWidth="1"/>
    <col min="14349" max="14349" width="11.140625" bestFit="1" customWidth="1"/>
    <col min="14592" max="14594" width="12.7109375" customWidth="1"/>
    <col min="14595" max="14595" width="14.28515625" customWidth="1"/>
    <col min="14596" max="14596" width="12.7109375" customWidth="1"/>
    <col min="14597" max="14597" width="14" customWidth="1"/>
    <col min="14598" max="14598" width="3" customWidth="1"/>
    <col min="14599" max="14599" width="12.7109375" customWidth="1"/>
    <col min="14600" max="14600" width="14.7109375" customWidth="1"/>
    <col min="14601" max="14604" width="12.7109375" customWidth="1"/>
    <col min="14605" max="14605" width="11.140625" bestFit="1" customWidth="1"/>
    <col min="14848" max="14850" width="12.7109375" customWidth="1"/>
    <col min="14851" max="14851" width="14.28515625" customWidth="1"/>
    <col min="14852" max="14852" width="12.7109375" customWidth="1"/>
    <col min="14853" max="14853" width="14" customWidth="1"/>
    <col min="14854" max="14854" width="3" customWidth="1"/>
    <col min="14855" max="14855" width="12.7109375" customWidth="1"/>
    <col min="14856" max="14856" width="14.7109375" customWidth="1"/>
    <col min="14857" max="14860" width="12.7109375" customWidth="1"/>
    <col min="14861" max="14861" width="11.140625" bestFit="1" customWidth="1"/>
    <col min="15104" max="15106" width="12.7109375" customWidth="1"/>
    <col min="15107" max="15107" width="14.28515625" customWidth="1"/>
    <col min="15108" max="15108" width="12.7109375" customWidth="1"/>
    <col min="15109" max="15109" width="14" customWidth="1"/>
    <col min="15110" max="15110" width="3" customWidth="1"/>
    <col min="15111" max="15111" width="12.7109375" customWidth="1"/>
    <col min="15112" max="15112" width="14.7109375" customWidth="1"/>
    <col min="15113" max="15116" width="12.7109375" customWidth="1"/>
    <col min="15117" max="15117" width="11.140625" bestFit="1" customWidth="1"/>
    <col min="15360" max="15362" width="12.7109375" customWidth="1"/>
    <col min="15363" max="15363" width="14.28515625" customWidth="1"/>
    <col min="15364" max="15364" width="12.7109375" customWidth="1"/>
    <col min="15365" max="15365" width="14" customWidth="1"/>
    <col min="15366" max="15366" width="3" customWidth="1"/>
    <col min="15367" max="15367" width="12.7109375" customWidth="1"/>
    <col min="15368" max="15368" width="14.7109375" customWidth="1"/>
    <col min="15369" max="15372" width="12.7109375" customWidth="1"/>
    <col min="15373" max="15373" width="11.140625" bestFit="1" customWidth="1"/>
    <col min="15616" max="15618" width="12.7109375" customWidth="1"/>
    <col min="15619" max="15619" width="14.28515625" customWidth="1"/>
    <col min="15620" max="15620" width="12.7109375" customWidth="1"/>
    <col min="15621" max="15621" width="14" customWidth="1"/>
    <col min="15622" max="15622" width="3" customWidth="1"/>
    <col min="15623" max="15623" width="12.7109375" customWidth="1"/>
    <col min="15624" max="15624" width="14.7109375" customWidth="1"/>
    <col min="15625" max="15628" width="12.7109375" customWidth="1"/>
    <col min="15629" max="15629" width="11.140625" bestFit="1" customWidth="1"/>
    <col min="15872" max="15874" width="12.7109375" customWidth="1"/>
    <col min="15875" max="15875" width="14.28515625" customWidth="1"/>
    <col min="15876" max="15876" width="12.7109375" customWidth="1"/>
    <col min="15877" max="15877" width="14" customWidth="1"/>
    <col min="15878" max="15878" width="3" customWidth="1"/>
    <col min="15879" max="15879" width="12.7109375" customWidth="1"/>
    <col min="15880" max="15880" width="14.7109375" customWidth="1"/>
    <col min="15881" max="15884" width="12.7109375" customWidth="1"/>
    <col min="15885" max="15885" width="11.140625" bestFit="1" customWidth="1"/>
    <col min="16128" max="16130" width="12.7109375" customWidth="1"/>
    <col min="16131" max="16131" width="14.28515625" customWidth="1"/>
    <col min="16132" max="16132" width="12.7109375" customWidth="1"/>
    <col min="16133" max="16133" width="14" customWidth="1"/>
    <col min="16134" max="16134" width="3" customWidth="1"/>
    <col min="16135" max="16135" width="12.7109375" customWidth="1"/>
    <col min="16136" max="16136" width="14.7109375" customWidth="1"/>
    <col min="16137" max="16140" width="12.7109375" customWidth="1"/>
    <col min="16141" max="16141" width="11.140625" bestFit="1" customWidth="1"/>
  </cols>
  <sheetData>
    <row r="1" spans="1:19" ht="15.75" x14ac:dyDescent="0.25">
      <c r="A1" s="116" t="s">
        <v>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19" x14ac:dyDescent="0.25">
      <c r="A2" s="117" t="s">
        <v>1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</row>
    <row r="3" spans="1:19" ht="75" customHeight="1" x14ac:dyDescent="0.25">
      <c r="A3" s="76" t="s">
        <v>2</v>
      </c>
      <c r="B3" s="76" t="s">
        <v>3</v>
      </c>
      <c r="C3" s="76" t="s">
        <v>4</v>
      </c>
      <c r="D3" s="118" t="s">
        <v>5</v>
      </c>
      <c r="E3" s="119"/>
      <c r="F3" s="120"/>
      <c r="G3" s="73"/>
      <c r="H3" s="76" t="s">
        <v>6</v>
      </c>
      <c r="I3" s="73" t="s">
        <v>7</v>
      </c>
      <c r="J3" s="76" t="s">
        <v>8</v>
      </c>
      <c r="K3" s="76" t="s">
        <v>9</v>
      </c>
      <c r="L3" s="76" t="s">
        <v>10</v>
      </c>
      <c r="M3" s="76" t="s">
        <v>11</v>
      </c>
      <c r="N3" s="1"/>
      <c r="O3" s="1"/>
      <c r="P3" s="1"/>
      <c r="Q3" s="1"/>
      <c r="R3" s="1"/>
      <c r="S3" s="1"/>
    </row>
    <row r="4" spans="1:19" s="3" customFormat="1" x14ac:dyDescent="0.25">
      <c r="A4" s="78">
        <v>1.3878710000000001</v>
      </c>
      <c r="B4" s="75">
        <v>140</v>
      </c>
      <c r="C4" s="2" t="s">
        <v>12</v>
      </c>
      <c r="D4" s="121">
        <v>64</v>
      </c>
      <c r="E4" s="122"/>
      <c r="F4" s="123"/>
      <c r="H4" s="75">
        <v>1</v>
      </c>
      <c r="I4" s="75">
        <v>1</v>
      </c>
      <c r="J4" s="4">
        <f>D4*H4*I4</f>
        <v>64</v>
      </c>
      <c r="K4" s="5">
        <v>1</v>
      </c>
      <c r="L4" s="4">
        <f>J4*K4</f>
        <v>64</v>
      </c>
      <c r="M4" s="4">
        <f>A4*9500</f>
        <v>13184.774500000001</v>
      </c>
    </row>
    <row r="5" spans="1:19" s="3" customFormat="1" x14ac:dyDescent="0.25">
      <c r="C5" s="6"/>
      <c r="H5" s="75"/>
      <c r="I5" s="75"/>
      <c r="J5" s="4"/>
      <c r="K5" s="5"/>
      <c r="L5" s="7"/>
      <c r="M5" s="4"/>
    </row>
    <row r="6" spans="1:19" x14ac:dyDescent="0.25">
      <c r="A6" s="117" t="s">
        <v>13</v>
      </c>
      <c r="B6" s="117"/>
      <c r="C6" s="117"/>
      <c r="D6" s="117"/>
      <c r="E6" s="117"/>
      <c r="F6" s="117"/>
      <c r="G6" s="8"/>
      <c r="H6" s="124" t="s">
        <v>14</v>
      </c>
      <c r="I6" s="125"/>
      <c r="J6" s="125"/>
      <c r="K6" s="126"/>
      <c r="L6" s="9">
        <f>L4+L5</f>
        <v>64</v>
      </c>
      <c r="M6" s="77" t="s">
        <v>15</v>
      </c>
    </row>
    <row r="7" spans="1:19" ht="60" x14ac:dyDescent="0.25">
      <c r="A7" s="129" t="s">
        <v>16</v>
      </c>
      <c r="B7" s="129"/>
      <c r="C7" s="129"/>
      <c r="D7" s="129"/>
      <c r="E7" s="10" t="s">
        <v>17</v>
      </c>
      <c r="F7" s="10" t="s">
        <v>18</v>
      </c>
      <c r="G7" s="11"/>
      <c r="H7" s="76" t="s">
        <v>19</v>
      </c>
      <c r="I7" s="12" t="s">
        <v>20</v>
      </c>
      <c r="J7" s="13" t="s">
        <v>21</v>
      </c>
      <c r="K7" s="13" t="s">
        <v>22</v>
      </c>
      <c r="L7" s="14" t="s">
        <v>23</v>
      </c>
      <c r="M7" s="15" t="s">
        <v>15</v>
      </c>
    </row>
    <row r="8" spans="1:19" ht="15" customHeight="1" x14ac:dyDescent="0.25">
      <c r="A8" s="130" t="s">
        <v>24</v>
      </c>
      <c r="B8" s="130"/>
      <c r="C8" s="130"/>
      <c r="D8" s="130"/>
      <c r="E8" s="131">
        <v>0.26</v>
      </c>
      <c r="F8" s="132">
        <f>L6*26/100</f>
        <v>16.64</v>
      </c>
      <c r="G8" s="16"/>
      <c r="H8" s="17">
        <v>1</v>
      </c>
      <c r="I8" s="18">
        <v>0</v>
      </c>
      <c r="J8" s="75">
        <v>2</v>
      </c>
      <c r="K8" s="75">
        <f>I4</f>
        <v>1</v>
      </c>
      <c r="L8" s="75">
        <v>1</v>
      </c>
      <c r="M8" s="112">
        <f>L8+L9+I8</f>
        <v>1</v>
      </c>
    </row>
    <row r="9" spans="1:19" x14ac:dyDescent="0.25">
      <c r="A9" s="130"/>
      <c r="B9" s="130"/>
      <c r="C9" s="130"/>
      <c r="D9" s="130"/>
      <c r="E9" s="131"/>
      <c r="F9" s="132"/>
      <c r="G9" s="16"/>
      <c r="H9" s="75"/>
      <c r="I9" s="75"/>
      <c r="J9" s="75"/>
      <c r="K9" s="75"/>
      <c r="L9" s="75"/>
      <c r="M9" s="112"/>
    </row>
    <row r="10" spans="1:19" x14ac:dyDescent="0.25">
      <c r="A10" s="113" t="s">
        <v>25</v>
      </c>
      <c r="B10" s="114"/>
      <c r="C10" s="114"/>
      <c r="D10" s="115"/>
      <c r="E10" s="71">
        <v>0.01</v>
      </c>
      <c r="F10" s="72">
        <f>L6*1/100</f>
        <v>0.64</v>
      </c>
      <c r="G10" s="16"/>
      <c r="H10" s="13"/>
      <c r="I10" s="13"/>
      <c r="J10" s="19"/>
      <c r="K10" s="19"/>
    </row>
    <row r="11" spans="1:19" x14ac:dyDescent="0.25">
      <c r="A11" s="113" t="s">
        <v>26</v>
      </c>
      <c r="B11" s="114"/>
      <c r="C11" s="114"/>
      <c r="D11" s="115"/>
      <c r="E11" s="71">
        <v>7.0000000000000007E-2</v>
      </c>
      <c r="F11" s="72">
        <f>L6*7/100</f>
        <v>4.4800000000000004</v>
      </c>
      <c r="G11" s="16"/>
      <c r="H11" s="13"/>
      <c r="I11" s="13"/>
      <c r="J11" s="19"/>
      <c r="K11" s="19"/>
    </row>
    <row r="12" spans="1:19" ht="15" customHeight="1" x14ac:dyDescent="0.25">
      <c r="A12" s="133" t="s">
        <v>27</v>
      </c>
      <c r="B12" s="134"/>
      <c r="C12" s="134"/>
      <c r="D12" s="135"/>
      <c r="E12" s="139">
        <v>0.05</v>
      </c>
      <c r="F12" s="141">
        <f>L6*5/100</f>
        <v>3.2</v>
      </c>
      <c r="G12" s="3"/>
      <c r="H12" s="130" t="s">
        <v>28</v>
      </c>
      <c r="I12" s="130"/>
      <c r="J12" s="127">
        <f>L6*0.55/M8</f>
        <v>35.200000000000003</v>
      </c>
      <c r="K12" s="127"/>
      <c r="L12" s="20"/>
      <c r="M12" s="20"/>
    </row>
    <row r="13" spans="1:19" x14ac:dyDescent="0.25">
      <c r="A13" s="136"/>
      <c r="B13" s="137"/>
      <c r="C13" s="137"/>
      <c r="D13" s="138"/>
      <c r="E13" s="140"/>
      <c r="F13" s="142"/>
      <c r="G13" s="3"/>
      <c r="H13" s="128"/>
      <c r="I13" s="128"/>
      <c r="J13" s="128"/>
      <c r="K13" s="128"/>
      <c r="L13" s="128"/>
    </row>
    <row r="14" spans="1:19" ht="15" customHeight="1" x14ac:dyDescent="0.25">
      <c r="A14" s="133" t="s">
        <v>29</v>
      </c>
      <c r="B14" s="134"/>
      <c r="C14" s="134"/>
      <c r="D14" s="135"/>
      <c r="E14" s="139">
        <v>0.55000000000000004</v>
      </c>
      <c r="F14" s="141">
        <f>L6*55/100</f>
        <v>35.200000000000003</v>
      </c>
      <c r="G14" s="3"/>
      <c r="H14" s="144" t="s">
        <v>30</v>
      </c>
      <c r="I14" s="144"/>
      <c r="J14" s="144"/>
      <c r="K14" s="144"/>
      <c r="L14" s="144"/>
      <c r="M14" s="144"/>
    </row>
    <row r="15" spans="1:19" ht="22.5" customHeight="1" x14ac:dyDescent="0.25">
      <c r="A15" s="136"/>
      <c r="B15" s="137"/>
      <c r="C15" s="137"/>
      <c r="D15" s="138"/>
      <c r="E15" s="140"/>
      <c r="F15" s="142"/>
      <c r="G15" s="3"/>
      <c r="H15" s="144"/>
      <c r="I15" s="144"/>
      <c r="J15" s="144"/>
      <c r="K15" s="144"/>
      <c r="L15" s="144"/>
      <c r="M15" s="144"/>
    </row>
    <row r="16" spans="1:19" ht="6.75" customHeight="1" x14ac:dyDescent="0.25">
      <c r="A16" s="133" t="s">
        <v>31</v>
      </c>
      <c r="B16" s="134"/>
      <c r="C16" s="134"/>
      <c r="D16" s="135"/>
      <c r="E16" s="139">
        <v>0.02</v>
      </c>
      <c r="F16" s="141">
        <f>L6*2/100</f>
        <v>1.28</v>
      </c>
      <c r="G16" s="3"/>
      <c r="H16" s="144"/>
      <c r="I16" s="144"/>
      <c r="J16" s="144"/>
      <c r="K16" s="144"/>
      <c r="L16" s="144"/>
      <c r="M16" s="144"/>
    </row>
    <row r="17" spans="1:13" ht="24.75" customHeight="1" x14ac:dyDescent="0.25">
      <c r="A17" s="136"/>
      <c r="B17" s="137"/>
      <c r="C17" s="137"/>
      <c r="D17" s="138"/>
      <c r="E17" s="140"/>
      <c r="F17" s="142"/>
      <c r="G17" s="3"/>
      <c r="H17" s="77"/>
      <c r="I17" s="145" t="s">
        <v>32</v>
      </c>
      <c r="J17" s="145" t="s">
        <v>33</v>
      </c>
      <c r="K17" s="145" t="s">
        <v>34</v>
      </c>
      <c r="L17" s="147" t="s">
        <v>35</v>
      </c>
      <c r="M17" s="144" t="s">
        <v>36</v>
      </c>
    </row>
    <row r="18" spans="1:13" x14ac:dyDescent="0.25">
      <c r="A18" s="133" t="s">
        <v>37</v>
      </c>
      <c r="B18" s="134"/>
      <c r="C18" s="134"/>
      <c r="D18" s="135"/>
      <c r="E18" s="139">
        <v>0.04</v>
      </c>
      <c r="F18" s="141">
        <f>L6*4/100</f>
        <v>2.56</v>
      </c>
      <c r="G18" s="3"/>
      <c r="H18" s="77"/>
      <c r="I18" s="146"/>
      <c r="J18" s="146"/>
      <c r="K18" s="146"/>
      <c r="L18" s="148"/>
      <c r="M18" s="144"/>
    </row>
    <row r="19" spans="1:13" x14ac:dyDescent="0.25">
      <c r="A19" s="136"/>
      <c r="B19" s="137"/>
      <c r="C19" s="137"/>
      <c r="D19" s="138"/>
      <c r="E19" s="140"/>
      <c r="F19" s="142"/>
      <c r="G19" s="3"/>
      <c r="H19" s="74" t="s">
        <v>38</v>
      </c>
      <c r="I19" s="75">
        <v>2.75</v>
      </c>
      <c r="J19" s="75">
        <v>2.5</v>
      </c>
      <c r="K19" s="75">
        <v>4</v>
      </c>
      <c r="L19" s="75">
        <v>4</v>
      </c>
      <c r="M19" s="75">
        <v>2</v>
      </c>
    </row>
    <row r="20" spans="1:13" ht="39" x14ac:dyDescent="0.25">
      <c r="A20" s="143" t="s">
        <v>39</v>
      </c>
      <c r="B20" s="143"/>
      <c r="C20" s="143"/>
      <c r="D20" s="143"/>
      <c r="E20" s="21">
        <f>SUM(E8:E19)</f>
        <v>1</v>
      </c>
      <c r="F20" s="22">
        <f>SUM(F8:F19)</f>
        <v>64</v>
      </c>
      <c r="H20" s="13" t="s">
        <v>40</v>
      </c>
      <c r="I20" s="23">
        <f>M4*2.75</f>
        <v>36258.129875000006</v>
      </c>
      <c r="J20" s="23">
        <f>M4*2.5</f>
        <v>32961.936250000006</v>
      </c>
      <c r="K20" s="23">
        <f>M4*3</f>
        <v>39554.323500000006</v>
      </c>
      <c r="L20" s="23">
        <f>M4*4</f>
        <v>52739.098000000005</v>
      </c>
      <c r="M20" s="23">
        <f>M4*2</f>
        <v>26369.549000000003</v>
      </c>
    </row>
  </sheetData>
  <mergeCells count="35">
    <mergeCell ref="A20:D20"/>
    <mergeCell ref="A14:D15"/>
    <mergeCell ref="E14:E15"/>
    <mergeCell ref="F14:F15"/>
    <mergeCell ref="H14:M16"/>
    <mergeCell ref="A16:D17"/>
    <mergeCell ref="E16:E17"/>
    <mergeCell ref="F16:F17"/>
    <mergeCell ref="I17:I18"/>
    <mergeCell ref="J17:J18"/>
    <mergeCell ref="K17:K18"/>
    <mergeCell ref="L17:L18"/>
    <mergeCell ref="M17:M18"/>
    <mergeCell ref="A18:D19"/>
    <mergeCell ref="E18:E19"/>
    <mergeCell ref="F18:F19"/>
    <mergeCell ref="J12:K12"/>
    <mergeCell ref="H13:L13"/>
    <mergeCell ref="A7:D7"/>
    <mergeCell ref="A8:D9"/>
    <mergeCell ref="E8:E9"/>
    <mergeCell ref="F8:F9"/>
    <mergeCell ref="A11:D11"/>
    <mergeCell ref="A12:D13"/>
    <mergeCell ref="E12:E13"/>
    <mergeCell ref="F12:F13"/>
    <mergeCell ref="H12:I12"/>
    <mergeCell ref="M8:M9"/>
    <mergeCell ref="A10:D10"/>
    <mergeCell ref="A1:M1"/>
    <mergeCell ref="A2:M2"/>
    <mergeCell ref="D3:F3"/>
    <mergeCell ref="D4:F4"/>
    <mergeCell ref="A6:F6"/>
    <mergeCell ref="H6:K6"/>
  </mergeCells>
  <pageMargins left="0.7" right="0.7" top="0.75" bottom="0.75" header="0.3" footer="0.3"/>
  <pageSetup paperSize="9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F8689-A44A-4532-A49F-A65BD22D2E7B}">
  <sheetPr>
    <pageSetUpPr fitToPage="1"/>
  </sheetPr>
  <dimension ref="A1:AA34"/>
  <sheetViews>
    <sheetView view="pageBreakPreview" zoomScale="60" zoomScaleNormal="69" workbookViewId="0">
      <selection activeCell="R26" sqref="R26"/>
    </sheetView>
  </sheetViews>
  <sheetFormatPr defaultColWidth="3.140625" defaultRowHeight="15" x14ac:dyDescent="0.25"/>
  <cols>
    <col min="1" max="1" width="4.42578125" customWidth="1"/>
    <col min="2" max="2" width="7.42578125" customWidth="1"/>
    <col min="3" max="3" width="6.7109375" customWidth="1"/>
    <col min="4" max="4" width="26.42578125" customWidth="1"/>
    <col min="5" max="5" width="17.5703125" customWidth="1"/>
    <col min="6" max="6" width="13" style="70" bestFit="1" customWidth="1"/>
    <col min="7" max="7" width="11.28515625" customWidth="1"/>
    <col min="8" max="8" width="14.28515625" customWidth="1"/>
    <col min="9" max="9" width="14.85546875" customWidth="1"/>
    <col min="10" max="10" width="8.5703125" hidden="1" customWidth="1"/>
    <col min="11" max="11" width="11" hidden="1" customWidth="1"/>
    <col min="12" max="12" width="13.140625" customWidth="1"/>
    <col min="13" max="13" width="14.7109375" bestFit="1" customWidth="1"/>
    <col min="14" max="14" width="13.7109375" customWidth="1"/>
    <col min="15" max="15" width="16.28515625" bestFit="1" customWidth="1"/>
    <col min="16" max="16" width="14.85546875" customWidth="1"/>
    <col min="17" max="17" width="12.140625" customWidth="1"/>
    <col min="18" max="18" width="13.85546875" customWidth="1"/>
    <col min="19" max="19" width="14" customWidth="1"/>
    <col min="20" max="20" width="11.85546875" customWidth="1"/>
    <col min="21" max="21" width="10.7109375" customWidth="1"/>
    <col min="22" max="22" width="15.85546875" customWidth="1"/>
    <col min="23" max="23" width="14.7109375" customWidth="1"/>
    <col min="24" max="24" width="14.85546875" customWidth="1"/>
    <col min="25" max="25" width="22.42578125" customWidth="1"/>
    <col min="26" max="26" width="2.85546875" customWidth="1"/>
    <col min="27" max="27" width="12.140625" bestFit="1" customWidth="1"/>
    <col min="28" max="239" width="9.140625" customWidth="1"/>
    <col min="240" max="240" width="4.42578125" customWidth="1"/>
    <col min="241" max="241" width="21.5703125" customWidth="1"/>
    <col min="242" max="242" width="17.28515625" customWidth="1"/>
    <col min="243" max="243" width="16.42578125" customWidth="1"/>
    <col min="244" max="244" width="9.85546875" customWidth="1"/>
    <col min="245" max="245" width="9.140625" customWidth="1"/>
    <col min="246" max="246" width="14.28515625" customWidth="1"/>
    <col min="247" max="247" width="8.42578125" customWidth="1"/>
    <col min="248" max="248" width="6.7109375" customWidth="1"/>
    <col min="249" max="249" width="7.42578125" customWidth="1"/>
    <col min="257" max="257" width="4.42578125" customWidth="1"/>
    <col min="258" max="258" width="7.42578125" customWidth="1"/>
    <col min="259" max="259" width="6.7109375" customWidth="1"/>
    <col min="260" max="260" width="26.42578125" customWidth="1"/>
    <col min="261" max="261" width="17.5703125" customWidth="1"/>
    <col min="262" max="262" width="13" bestFit="1" customWidth="1"/>
    <col min="263" max="263" width="11.28515625" customWidth="1"/>
    <col min="264" max="264" width="14.28515625" customWidth="1"/>
    <col min="265" max="265" width="12.7109375" customWidth="1"/>
    <col min="266" max="267" width="0" hidden="1" customWidth="1"/>
    <col min="268" max="268" width="8.5703125" customWidth="1"/>
    <col min="269" max="269" width="14.7109375" bestFit="1" customWidth="1"/>
    <col min="270" max="270" width="13.7109375" customWidth="1"/>
    <col min="271" max="271" width="16.28515625" bestFit="1" customWidth="1"/>
    <col min="272" max="272" width="14.85546875" customWidth="1"/>
    <col min="273" max="273" width="12.140625" customWidth="1"/>
    <col min="274" max="275" width="11.42578125" bestFit="1" customWidth="1"/>
    <col min="276" max="277" width="9.7109375" customWidth="1"/>
    <col min="278" max="278" width="15.85546875" customWidth="1"/>
    <col min="279" max="279" width="14.7109375" customWidth="1"/>
    <col min="280" max="280" width="14.85546875" customWidth="1"/>
    <col min="281" max="281" width="22.42578125" customWidth="1"/>
    <col min="282" max="282" width="2.85546875" customWidth="1"/>
    <col min="283" max="283" width="12.140625" bestFit="1" customWidth="1"/>
    <col min="284" max="495" width="9.140625" customWidth="1"/>
    <col min="496" max="496" width="4.42578125" customWidth="1"/>
    <col min="497" max="497" width="21.5703125" customWidth="1"/>
    <col min="498" max="498" width="17.28515625" customWidth="1"/>
    <col min="499" max="499" width="16.42578125" customWidth="1"/>
    <col min="500" max="500" width="9.85546875" customWidth="1"/>
    <col min="501" max="501" width="9.140625" customWidth="1"/>
    <col min="502" max="502" width="14.28515625" customWidth="1"/>
    <col min="503" max="503" width="8.42578125" customWidth="1"/>
    <col min="504" max="504" width="6.7109375" customWidth="1"/>
    <col min="505" max="505" width="7.42578125" customWidth="1"/>
    <col min="513" max="513" width="4.42578125" customWidth="1"/>
    <col min="514" max="514" width="7.42578125" customWidth="1"/>
    <col min="515" max="515" width="6.7109375" customWidth="1"/>
    <col min="516" max="516" width="26.42578125" customWidth="1"/>
    <col min="517" max="517" width="17.5703125" customWidth="1"/>
    <col min="518" max="518" width="13" bestFit="1" customWidth="1"/>
    <col min="519" max="519" width="11.28515625" customWidth="1"/>
    <col min="520" max="520" width="14.28515625" customWidth="1"/>
    <col min="521" max="521" width="12.7109375" customWidth="1"/>
    <col min="522" max="523" width="0" hidden="1" customWidth="1"/>
    <col min="524" max="524" width="8.5703125" customWidth="1"/>
    <col min="525" max="525" width="14.7109375" bestFit="1" customWidth="1"/>
    <col min="526" max="526" width="13.7109375" customWidth="1"/>
    <col min="527" max="527" width="16.28515625" bestFit="1" customWidth="1"/>
    <col min="528" max="528" width="14.85546875" customWidth="1"/>
    <col min="529" max="529" width="12.140625" customWidth="1"/>
    <col min="530" max="531" width="11.42578125" bestFit="1" customWidth="1"/>
    <col min="532" max="533" width="9.7109375" customWidth="1"/>
    <col min="534" max="534" width="15.85546875" customWidth="1"/>
    <col min="535" max="535" width="14.7109375" customWidth="1"/>
    <col min="536" max="536" width="14.85546875" customWidth="1"/>
    <col min="537" max="537" width="22.42578125" customWidth="1"/>
    <col min="538" max="538" width="2.85546875" customWidth="1"/>
    <col min="539" max="539" width="12.140625" bestFit="1" customWidth="1"/>
    <col min="540" max="751" width="9.140625" customWidth="1"/>
    <col min="752" max="752" width="4.42578125" customWidth="1"/>
    <col min="753" max="753" width="21.5703125" customWidth="1"/>
    <col min="754" max="754" width="17.28515625" customWidth="1"/>
    <col min="755" max="755" width="16.42578125" customWidth="1"/>
    <col min="756" max="756" width="9.85546875" customWidth="1"/>
    <col min="757" max="757" width="9.140625" customWidth="1"/>
    <col min="758" max="758" width="14.28515625" customWidth="1"/>
    <col min="759" max="759" width="8.42578125" customWidth="1"/>
    <col min="760" max="760" width="6.7109375" customWidth="1"/>
    <col min="761" max="761" width="7.42578125" customWidth="1"/>
    <col min="769" max="769" width="4.42578125" customWidth="1"/>
    <col min="770" max="770" width="7.42578125" customWidth="1"/>
    <col min="771" max="771" width="6.7109375" customWidth="1"/>
    <col min="772" max="772" width="26.42578125" customWidth="1"/>
    <col min="773" max="773" width="17.5703125" customWidth="1"/>
    <col min="774" max="774" width="13" bestFit="1" customWidth="1"/>
    <col min="775" max="775" width="11.28515625" customWidth="1"/>
    <col min="776" max="776" width="14.28515625" customWidth="1"/>
    <col min="777" max="777" width="12.7109375" customWidth="1"/>
    <col min="778" max="779" width="0" hidden="1" customWidth="1"/>
    <col min="780" max="780" width="8.5703125" customWidth="1"/>
    <col min="781" max="781" width="14.7109375" bestFit="1" customWidth="1"/>
    <col min="782" max="782" width="13.7109375" customWidth="1"/>
    <col min="783" max="783" width="16.28515625" bestFit="1" customWidth="1"/>
    <col min="784" max="784" width="14.85546875" customWidth="1"/>
    <col min="785" max="785" width="12.140625" customWidth="1"/>
    <col min="786" max="787" width="11.42578125" bestFit="1" customWidth="1"/>
    <col min="788" max="789" width="9.7109375" customWidth="1"/>
    <col min="790" max="790" width="15.85546875" customWidth="1"/>
    <col min="791" max="791" width="14.7109375" customWidth="1"/>
    <col min="792" max="792" width="14.85546875" customWidth="1"/>
    <col min="793" max="793" width="22.42578125" customWidth="1"/>
    <col min="794" max="794" width="2.85546875" customWidth="1"/>
    <col min="795" max="795" width="12.140625" bestFit="1" customWidth="1"/>
    <col min="796" max="1007" width="9.140625" customWidth="1"/>
    <col min="1008" max="1008" width="4.42578125" customWidth="1"/>
    <col min="1009" max="1009" width="21.5703125" customWidth="1"/>
    <col min="1010" max="1010" width="17.28515625" customWidth="1"/>
    <col min="1011" max="1011" width="16.42578125" customWidth="1"/>
    <col min="1012" max="1012" width="9.85546875" customWidth="1"/>
    <col min="1013" max="1013" width="9.140625" customWidth="1"/>
    <col min="1014" max="1014" width="14.28515625" customWidth="1"/>
    <col min="1015" max="1015" width="8.42578125" customWidth="1"/>
    <col min="1016" max="1016" width="6.7109375" customWidth="1"/>
    <col min="1017" max="1017" width="7.42578125" customWidth="1"/>
    <col min="1025" max="1025" width="4.42578125" customWidth="1"/>
    <col min="1026" max="1026" width="7.42578125" customWidth="1"/>
    <col min="1027" max="1027" width="6.7109375" customWidth="1"/>
    <col min="1028" max="1028" width="26.42578125" customWidth="1"/>
    <col min="1029" max="1029" width="17.5703125" customWidth="1"/>
    <col min="1030" max="1030" width="13" bestFit="1" customWidth="1"/>
    <col min="1031" max="1031" width="11.28515625" customWidth="1"/>
    <col min="1032" max="1032" width="14.28515625" customWidth="1"/>
    <col min="1033" max="1033" width="12.7109375" customWidth="1"/>
    <col min="1034" max="1035" width="0" hidden="1" customWidth="1"/>
    <col min="1036" max="1036" width="8.5703125" customWidth="1"/>
    <col min="1037" max="1037" width="14.7109375" bestFit="1" customWidth="1"/>
    <col min="1038" max="1038" width="13.7109375" customWidth="1"/>
    <col min="1039" max="1039" width="16.28515625" bestFit="1" customWidth="1"/>
    <col min="1040" max="1040" width="14.85546875" customWidth="1"/>
    <col min="1041" max="1041" width="12.140625" customWidth="1"/>
    <col min="1042" max="1043" width="11.42578125" bestFit="1" customWidth="1"/>
    <col min="1044" max="1045" width="9.7109375" customWidth="1"/>
    <col min="1046" max="1046" width="15.85546875" customWidth="1"/>
    <col min="1047" max="1047" width="14.7109375" customWidth="1"/>
    <col min="1048" max="1048" width="14.85546875" customWidth="1"/>
    <col min="1049" max="1049" width="22.42578125" customWidth="1"/>
    <col min="1050" max="1050" width="2.85546875" customWidth="1"/>
    <col min="1051" max="1051" width="12.140625" bestFit="1" customWidth="1"/>
    <col min="1052" max="1263" width="9.140625" customWidth="1"/>
    <col min="1264" max="1264" width="4.42578125" customWidth="1"/>
    <col min="1265" max="1265" width="21.5703125" customWidth="1"/>
    <col min="1266" max="1266" width="17.28515625" customWidth="1"/>
    <col min="1267" max="1267" width="16.42578125" customWidth="1"/>
    <col min="1268" max="1268" width="9.85546875" customWidth="1"/>
    <col min="1269" max="1269" width="9.140625" customWidth="1"/>
    <col min="1270" max="1270" width="14.28515625" customWidth="1"/>
    <col min="1271" max="1271" width="8.42578125" customWidth="1"/>
    <col min="1272" max="1272" width="6.7109375" customWidth="1"/>
    <col min="1273" max="1273" width="7.42578125" customWidth="1"/>
    <col min="1281" max="1281" width="4.42578125" customWidth="1"/>
    <col min="1282" max="1282" width="7.42578125" customWidth="1"/>
    <col min="1283" max="1283" width="6.7109375" customWidth="1"/>
    <col min="1284" max="1284" width="26.42578125" customWidth="1"/>
    <col min="1285" max="1285" width="17.5703125" customWidth="1"/>
    <col min="1286" max="1286" width="13" bestFit="1" customWidth="1"/>
    <col min="1287" max="1287" width="11.28515625" customWidth="1"/>
    <col min="1288" max="1288" width="14.28515625" customWidth="1"/>
    <col min="1289" max="1289" width="12.7109375" customWidth="1"/>
    <col min="1290" max="1291" width="0" hidden="1" customWidth="1"/>
    <col min="1292" max="1292" width="8.5703125" customWidth="1"/>
    <col min="1293" max="1293" width="14.7109375" bestFit="1" customWidth="1"/>
    <col min="1294" max="1294" width="13.7109375" customWidth="1"/>
    <col min="1295" max="1295" width="16.28515625" bestFit="1" customWidth="1"/>
    <col min="1296" max="1296" width="14.85546875" customWidth="1"/>
    <col min="1297" max="1297" width="12.140625" customWidth="1"/>
    <col min="1298" max="1299" width="11.42578125" bestFit="1" customWidth="1"/>
    <col min="1300" max="1301" width="9.7109375" customWidth="1"/>
    <col min="1302" max="1302" width="15.85546875" customWidth="1"/>
    <col min="1303" max="1303" width="14.7109375" customWidth="1"/>
    <col min="1304" max="1304" width="14.85546875" customWidth="1"/>
    <col min="1305" max="1305" width="22.42578125" customWidth="1"/>
    <col min="1306" max="1306" width="2.85546875" customWidth="1"/>
    <col min="1307" max="1307" width="12.140625" bestFit="1" customWidth="1"/>
    <col min="1308" max="1519" width="9.140625" customWidth="1"/>
    <col min="1520" max="1520" width="4.42578125" customWidth="1"/>
    <col min="1521" max="1521" width="21.5703125" customWidth="1"/>
    <col min="1522" max="1522" width="17.28515625" customWidth="1"/>
    <col min="1523" max="1523" width="16.42578125" customWidth="1"/>
    <col min="1524" max="1524" width="9.85546875" customWidth="1"/>
    <col min="1525" max="1525" width="9.140625" customWidth="1"/>
    <col min="1526" max="1526" width="14.28515625" customWidth="1"/>
    <col min="1527" max="1527" width="8.42578125" customWidth="1"/>
    <col min="1528" max="1528" width="6.7109375" customWidth="1"/>
    <col min="1529" max="1529" width="7.42578125" customWidth="1"/>
    <col min="1537" max="1537" width="4.42578125" customWidth="1"/>
    <col min="1538" max="1538" width="7.42578125" customWidth="1"/>
    <col min="1539" max="1539" width="6.7109375" customWidth="1"/>
    <col min="1540" max="1540" width="26.42578125" customWidth="1"/>
    <col min="1541" max="1541" width="17.5703125" customWidth="1"/>
    <col min="1542" max="1542" width="13" bestFit="1" customWidth="1"/>
    <col min="1543" max="1543" width="11.28515625" customWidth="1"/>
    <col min="1544" max="1544" width="14.28515625" customWidth="1"/>
    <col min="1545" max="1545" width="12.7109375" customWidth="1"/>
    <col min="1546" max="1547" width="0" hidden="1" customWidth="1"/>
    <col min="1548" max="1548" width="8.5703125" customWidth="1"/>
    <col min="1549" max="1549" width="14.7109375" bestFit="1" customWidth="1"/>
    <col min="1550" max="1550" width="13.7109375" customWidth="1"/>
    <col min="1551" max="1551" width="16.28515625" bestFit="1" customWidth="1"/>
    <col min="1552" max="1552" width="14.85546875" customWidth="1"/>
    <col min="1553" max="1553" width="12.140625" customWidth="1"/>
    <col min="1554" max="1555" width="11.42578125" bestFit="1" customWidth="1"/>
    <col min="1556" max="1557" width="9.7109375" customWidth="1"/>
    <col min="1558" max="1558" width="15.85546875" customWidth="1"/>
    <col min="1559" max="1559" width="14.7109375" customWidth="1"/>
    <col min="1560" max="1560" width="14.85546875" customWidth="1"/>
    <col min="1561" max="1561" width="22.42578125" customWidth="1"/>
    <col min="1562" max="1562" width="2.85546875" customWidth="1"/>
    <col min="1563" max="1563" width="12.140625" bestFit="1" customWidth="1"/>
    <col min="1564" max="1775" width="9.140625" customWidth="1"/>
    <col min="1776" max="1776" width="4.42578125" customWidth="1"/>
    <col min="1777" max="1777" width="21.5703125" customWidth="1"/>
    <col min="1778" max="1778" width="17.28515625" customWidth="1"/>
    <col min="1779" max="1779" width="16.42578125" customWidth="1"/>
    <col min="1780" max="1780" width="9.85546875" customWidth="1"/>
    <col min="1781" max="1781" width="9.140625" customWidth="1"/>
    <col min="1782" max="1782" width="14.28515625" customWidth="1"/>
    <col min="1783" max="1783" width="8.42578125" customWidth="1"/>
    <col min="1784" max="1784" width="6.7109375" customWidth="1"/>
    <col min="1785" max="1785" width="7.42578125" customWidth="1"/>
    <col min="1793" max="1793" width="4.42578125" customWidth="1"/>
    <col min="1794" max="1794" width="7.42578125" customWidth="1"/>
    <col min="1795" max="1795" width="6.7109375" customWidth="1"/>
    <col min="1796" max="1796" width="26.42578125" customWidth="1"/>
    <col min="1797" max="1797" width="17.5703125" customWidth="1"/>
    <col min="1798" max="1798" width="13" bestFit="1" customWidth="1"/>
    <col min="1799" max="1799" width="11.28515625" customWidth="1"/>
    <col min="1800" max="1800" width="14.28515625" customWidth="1"/>
    <col min="1801" max="1801" width="12.7109375" customWidth="1"/>
    <col min="1802" max="1803" width="0" hidden="1" customWidth="1"/>
    <col min="1804" max="1804" width="8.5703125" customWidth="1"/>
    <col min="1805" max="1805" width="14.7109375" bestFit="1" customWidth="1"/>
    <col min="1806" max="1806" width="13.7109375" customWidth="1"/>
    <col min="1807" max="1807" width="16.28515625" bestFit="1" customWidth="1"/>
    <col min="1808" max="1808" width="14.85546875" customWidth="1"/>
    <col min="1809" max="1809" width="12.140625" customWidth="1"/>
    <col min="1810" max="1811" width="11.42578125" bestFit="1" customWidth="1"/>
    <col min="1812" max="1813" width="9.7109375" customWidth="1"/>
    <col min="1814" max="1814" width="15.85546875" customWidth="1"/>
    <col min="1815" max="1815" width="14.7109375" customWidth="1"/>
    <col min="1816" max="1816" width="14.85546875" customWidth="1"/>
    <col min="1817" max="1817" width="22.42578125" customWidth="1"/>
    <col min="1818" max="1818" width="2.85546875" customWidth="1"/>
    <col min="1819" max="1819" width="12.140625" bestFit="1" customWidth="1"/>
    <col min="1820" max="2031" width="9.140625" customWidth="1"/>
    <col min="2032" max="2032" width="4.42578125" customWidth="1"/>
    <col min="2033" max="2033" width="21.5703125" customWidth="1"/>
    <col min="2034" max="2034" width="17.28515625" customWidth="1"/>
    <col min="2035" max="2035" width="16.42578125" customWidth="1"/>
    <col min="2036" max="2036" width="9.85546875" customWidth="1"/>
    <col min="2037" max="2037" width="9.140625" customWidth="1"/>
    <col min="2038" max="2038" width="14.28515625" customWidth="1"/>
    <col min="2039" max="2039" width="8.42578125" customWidth="1"/>
    <col min="2040" max="2040" width="6.7109375" customWidth="1"/>
    <col min="2041" max="2041" width="7.42578125" customWidth="1"/>
    <col min="2049" max="2049" width="4.42578125" customWidth="1"/>
    <col min="2050" max="2050" width="7.42578125" customWidth="1"/>
    <col min="2051" max="2051" width="6.7109375" customWidth="1"/>
    <col min="2052" max="2052" width="26.42578125" customWidth="1"/>
    <col min="2053" max="2053" width="17.5703125" customWidth="1"/>
    <col min="2054" max="2054" width="13" bestFit="1" customWidth="1"/>
    <col min="2055" max="2055" width="11.28515625" customWidth="1"/>
    <col min="2056" max="2056" width="14.28515625" customWidth="1"/>
    <col min="2057" max="2057" width="12.7109375" customWidth="1"/>
    <col min="2058" max="2059" width="0" hidden="1" customWidth="1"/>
    <col min="2060" max="2060" width="8.5703125" customWidth="1"/>
    <col min="2061" max="2061" width="14.7109375" bestFit="1" customWidth="1"/>
    <col min="2062" max="2062" width="13.7109375" customWidth="1"/>
    <col min="2063" max="2063" width="16.28515625" bestFit="1" customWidth="1"/>
    <col min="2064" max="2064" width="14.85546875" customWidth="1"/>
    <col min="2065" max="2065" width="12.140625" customWidth="1"/>
    <col min="2066" max="2067" width="11.42578125" bestFit="1" customWidth="1"/>
    <col min="2068" max="2069" width="9.7109375" customWidth="1"/>
    <col min="2070" max="2070" width="15.85546875" customWidth="1"/>
    <col min="2071" max="2071" width="14.7109375" customWidth="1"/>
    <col min="2072" max="2072" width="14.85546875" customWidth="1"/>
    <col min="2073" max="2073" width="22.42578125" customWidth="1"/>
    <col min="2074" max="2074" width="2.85546875" customWidth="1"/>
    <col min="2075" max="2075" width="12.140625" bestFit="1" customWidth="1"/>
    <col min="2076" max="2287" width="9.140625" customWidth="1"/>
    <col min="2288" max="2288" width="4.42578125" customWidth="1"/>
    <col min="2289" max="2289" width="21.5703125" customWidth="1"/>
    <col min="2290" max="2290" width="17.28515625" customWidth="1"/>
    <col min="2291" max="2291" width="16.42578125" customWidth="1"/>
    <col min="2292" max="2292" width="9.85546875" customWidth="1"/>
    <col min="2293" max="2293" width="9.140625" customWidth="1"/>
    <col min="2294" max="2294" width="14.28515625" customWidth="1"/>
    <col min="2295" max="2295" width="8.42578125" customWidth="1"/>
    <col min="2296" max="2296" width="6.7109375" customWidth="1"/>
    <col min="2297" max="2297" width="7.42578125" customWidth="1"/>
    <col min="2305" max="2305" width="4.42578125" customWidth="1"/>
    <col min="2306" max="2306" width="7.42578125" customWidth="1"/>
    <col min="2307" max="2307" width="6.7109375" customWidth="1"/>
    <col min="2308" max="2308" width="26.42578125" customWidth="1"/>
    <col min="2309" max="2309" width="17.5703125" customWidth="1"/>
    <col min="2310" max="2310" width="13" bestFit="1" customWidth="1"/>
    <col min="2311" max="2311" width="11.28515625" customWidth="1"/>
    <col min="2312" max="2312" width="14.28515625" customWidth="1"/>
    <col min="2313" max="2313" width="12.7109375" customWidth="1"/>
    <col min="2314" max="2315" width="0" hidden="1" customWidth="1"/>
    <col min="2316" max="2316" width="8.5703125" customWidth="1"/>
    <col min="2317" max="2317" width="14.7109375" bestFit="1" customWidth="1"/>
    <col min="2318" max="2318" width="13.7109375" customWidth="1"/>
    <col min="2319" max="2319" width="16.28515625" bestFit="1" customWidth="1"/>
    <col min="2320" max="2320" width="14.85546875" customWidth="1"/>
    <col min="2321" max="2321" width="12.140625" customWidth="1"/>
    <col min="2322" max="2323" width="11.42578125" bestFit="1" customWidth="1"/>
    <col min="2324" max="2325" width="9.7109375" customWidth="1"/>
    <col min="2326" max="2326" width="15.85546875" customWidth="1"/>
    <col min="2327" max="2327" width="14.7109375" customWidth="1"/>
    <col min="2328" max="2328" width="14.85546875" customWidth="1"/>
    <col min="2329" max="2329" width="22.42578125" customWidth="1"/>
    <col min="2330" max="2330" width="2.85546875" customWidth="1"/>
    <col min="2331" max="2331" width="12.140625" bestFit="1" customWidth="1"/>
    <col min="2332" max="2543" width="9.140625" customWidth="1"/>
    <col min="2544" max="2544" width="4.42578125" customWidth="1"/>
    <col min="2545" max="2545" width="21.5703125" customWidth="1"/>
    <col min="2546" max="2546" width="17.28515625" customWidth="1"/>
    <col min="2547" max="2547" width="16.42578125" customWidth="1"/>
    <col min="2548" max="2548" width="9.85546875" customWidth="1"/>
    <col min="2549" max="2549" width="9.140625" customWidth="1"/>
    <col min="2550" max="2550" width="14.28515625" customWidth="1"/>
    <col min="2551" max="2551" width="8.42578125" customWidth="1"/>
    <col min="2552" max="2552" width="6.7109375" customWidth="1"/>
    <col min="2553" max="2553" width="7.42578125" customWidth="1"/>
    <col min="2561" max="2561" width="4.42578125" customWidth="1"/>
    <col min="2562" max="2562" width="7.42578125" customWidth="1"/>
    <col min="2563" max="2563" width="6.7109375" customWidth="1"/>
    <col min="2564" max="2564" width="26.42578125" customWidth="1"/>
    <col min="2565" max="2565" width="17.5703125" customWidth="1"/>
    <col min="2566" max="2566" width="13" bestFit="1" customWidth="1"/>
    <col min="2567" max="2567" width="11.28515625" customWidth="1"/>
    <col min="2568" max="2568" width="14.28515625" customWidth="1"/>
    <col min="2569" max="2569" width="12.7109375" customWidth="1"/>
    <col min="2570" max="2571" width="0" hidden="1" customWidth="1"/>
    <col min="2572" max="2572" width="8.5703125" customWidth="1"/>
    <col min="2573" max="2573" width="14.7109375" bestFit="1" customWidth="1"/>
    <col min="2574" max="2574" width="13.7109375" customWidth="1"/>
    <col min="2575" max="2575" width="16.28515625" bestFit="1" customWidth="1"/>
    <col min="2576" max="2576" width="14.85546875" customWidth="1"/>
    <col min="2577" max="2577" width="12.140625" customWidth="1"/>
    <col min="2578" max="2579" width="11.42578125" bestFit="1" customWidth="1"/>
    <col min="2580" max="2581" width="9.7109375" customWidth="1"/>
    <col min="2582" max="2582" width="15.85546875" customWidth="1"/>
    <col min="2583" max="2583" width="14.7109375" customWidth="1"/>
    <col min="2584" max="2584" width="14.85546875" customWidth="1"/>
    <col min="2585" max="2585" width="22.42578125" customWidth="1"/>
    <col min="2586" max="2586" width="2.85546875" customWidth="1"/>
    <col min="2587" max="2587" width="12.140625" bestFit="1" customWidth="1"/>
    <col min="2588" max="2799" width="9.140625" customWidth="1"/>
    <col min="2800" max="2800" width="4.42578125" customWidth="1"/>
    <col min="2801" max="2801" width="21.5703125" customWidth="1"/>
    <col min="2802" max="2802" width="17.28515625" customWidth="1"/>
    <col min="2803" max="2803" width="16.42578125" customWidth="1"/>
    <col min="2804" max="2804" width="9.85546875" customWidth="1"/>
    <col min="2805" max="2805" width="9.140625" customWidth="1"/>
    <col min="2806" max="2806" width="14.28515625" customWidth="1"/>
    <col min="2807" max="2807" width="8.42578125" customWidth="1"/>
    <col min="2808" max="2808" width="6.7109375" customWidth="1"/>
    <col min="2809" max="2809" width="7.42578125" customWidth="1"/>
    <col min="2817" max="2817" width="4.42578125" customWidth="1"/>
    <col min="2818" max="2818" width="7.42578125" customWidth="1"/>
    <col min="2819" max="2819" width="6.7109375" customWidth="1"/>
    <col min="2820" max="2820" width="26.42578125" customWidth="1"/>
    <col min="2821" max="2821" width="17.5703125" customWidth="1"/>
    <col min="2822" max="2822" width="13" bestFit="1" customWidth="1"/>
    <col min="2823" max="2823" width="11.28515625" customWidth="1"/>
    <col min="2824" max="2824" width="14.28515625" customWidth="1"/>
    <col min="2825" max="2825" width="12.7109375" customWidth="1"/>
    <col min="2826" max="2827" width="0" hidden="1" customWidth="1"/>
    <col min="2828" max="2828" width="8.5703125" customWidth="1"/>
    <col min="2829" max="2829" width="14.7109375" bestFit="1" customWidth="1"/>
    <col min="2830" max="2830" width="13.7109375" customWidth="1"/>
    <col min="2831" max="2831" width="16.28515625" bestFit="1" customWidth="1"/>
    <col min="2832" max="2832" width="14.85546875" customWidth="1"/>
    <col min="2833" max="2833" width="12.140625" customWidth="1"/>
    <col min="2834" max="2835" width="11.42578125" bestFit="1" customWidth="1"/>
    <col min="2836" max="2837" width="9.7109375" customWidth="1"/>
    <col min="2838" max="2838" width="15.85546875" customWidth="1"/>
    <col min="2839" max="2839" width="14.7109375" customWidth="1"/>
    <col min="2840" max="2840" width="14.85546875" customWidth="1"/>
    <col min="2841" max="2841" width="22.42578125" customWidth="1"/>
    <col min="2842" max="2842" width="2.85546875" customWidth="1"/>
    <col min="2843" max="2843" width="12.140625" bestFit="1" customWidth="1"/>
    <col min="2844" max="3055" width="9.140625" customWidth="1"/>
    <col min="3056" max="3056" width="4.42578125" customWidth="1"/>
    <col min="3057" max="3057" width="21.5703125" customWidth="1"/>
    <col min="3058" max="3058" width="17.28515625" customWidth="1"/>
    <col min="3059" max="3059" width="16.42578125" customWidth="1"/>
    <col min="3060" max="3060" width="9.85546875" customWidth="1"/>
    <col min="3061" max="3061" width="9.140625" customWidth="1"/>
    <col min="3062" max="3062" width="14.28515625" customWidth="1"/>
    <col min="3063" max="3063" width="8.42578125" customWidth="1"/>
    <col min="3064" max="3064" width="6.7109375" customWidth="1"/>
    <col min="3065" max="3065" width="7.42578125" customWidth="1"/>
    <col min="3073" max="3073" width="4.42578125" customWidth="1"/>
    <col min="3074" max="3074" width="7.42578125" customWidth="1"/>
    <col min="3075" max="3075" width="6.7109375" customWidth="1"/>
    <col min="3076" max="3076" width="26.42578125" customWidth="1"/>
    <col min="3077" max="3077" width="17.5703125" customWidth="1"/>
    <col min="3078" max="3078" width="13" bestFit="1" customWidth="1"/>
    <col min="3079" max="3079" width="11.28515625" customWidth="1"/>
    <col min="3080" max="3080" width="14.28515625" customWidth="1"/>
    <col min="3081" max="3081" width="12.7109375" customWidth="1"/>
    <col min="3082" max="3083" width="0" hidden="1" customWidth="1"/>
    <col min="3084" max="3084" width="8.5703125" customWidth="1"/>
    <col min="3085" max="3085" width="14.7109375" bestFit="1" customWidth="1"/>
    <col min="3086" max="3086" width="13.7109375" customWidth="1"/>
    <col min="3087" max="3087" width="16.28515625" bestFit="1" customWidth="1"/>
    <col min="3088" max="3088" width="14.85546875" customWidth="1"/>
    <col min="3089" max="3089" width="12.140625" customWidth="1"/>
    <col min="3090" max="3091" width="11.42578125" bestFit="1" customWidth="1"/>
    <col min="3092" max="3093" width="9.7109375" customWidth="1"/>
    <col min="3094" max="3094" width="15.85546875" customWidth="1"/>
    <col min="3095" max="3095" width="14.7109375" customWidth="1"/>
    <col min="3096" max="3096" width="14.85546875" customWidth="1"/>
    <col min="3097" max="3097" width="22.42578125" customWidth="1"/>
    <col min="3098" max="3098" width="2.85546875" customWidth="1"/>
    <col min="3099" max="3099" width="12.140625" bestFit="1" customWidth="1"/>
    <col min="3100" max="3311" width="9.140625" customWidth="1"/>
    <col min="3312" max="3312" width="4.42578125" customWidth="1"/>
    <col min="3313" max="3313" width="21.5703125" customWidth="1"/>
    <col min="3314" max="3314" width="17.28515625" customWidth="1"/>
    <col min="3315" max="3315" width="16.42578125" customWidth="1"/>
    <col min="3316" max="3316" width="9.85546875" customWidth="1"/>
    <col min="3317" max="3317" width="9.140625" customWidth="1"/>
    <col min="3318" max="3318" width="14.28515625" customWidth="1"/>
    <col min="3319" max="3319" width="8.42578125" customWidth="1"/>
    <col min="3320" max="3320" width="6.7109375" customWidth="1"/>
    <col min="3321" max="3321" width="7.42578125" customWidth="1"/>
    <col min="3329" max="3329" width="4.42578125" customWidth="1"/>
    <col min="3330" max="3330" width="7.42578125" customWidth="1"/>
    <col min="3331" max="3331" width="6.7109375" customWidth="1"/>
    <col min="3332" max="3332" width="26.42578125" customWidth="1"/>
    <col min="3333" max="3333" width="17.5703125" customWidth="1"/>
    <col min="3334" max="3334" width="13" bestFit="1" customWidth="1"/>
    <col min="3335" max="3335" width="11.28515625" customWidth="1"/>
    <col min="3336" max="3336" width="14.28515625" customWidth="1"/>
    <col min="3337" max="3337" width="12.7109375" customWidth="1"/>
    <col min="3338" max="3339" width="0" hidden="1" customWidth="1"/>
    <col min="3340" max="3340" width="8.5703125" customWidth="1"/>
    <col min="3341" max="3341" width="14.7109375" bestFit="1" customWidth="1"/>
    <col min="3342" max="3342" width="13.7109375" customWidth="1"/>
    <col min="3343" max="3343" width="16.28515625" bestFit="1" customWidth="1"/>
    <col min="3344" max="3344" width="14.85546875" customWidth="1"/>
    <col min="3345" max="3345" width="12.140625" customWidth="1"/>
    <col min="3346" max="3347" width="11.42578125" bestFit="1" customWidth="1"/>
    <col min="3348" max="3349" width="9.7109375" customWidth="1"/>
    <col min="3350" max="3350" width="15.85546875" customWidth="1"/>
    <col min="3351" max="3351" width="14.7109375" customWidth="1"/>
    <col min="3352" max="3352" width="14.85546875" customWidth="1"/>
    <col min="3353" max="3353" width="22.42578125" customWidth="1"/>
    <col min="3354" max="3354" width="2.85546875" customWidth="1"/>
    <col min="3355" max="3355" width="12.140625" bestFit="1" customWidth="1"/>
    <col min="3356" max="3567" width="9.140625" customWidth="1"/>
    <col min="3568" max="3568" width="4.42578125" customWidth="1"/>
    <col min="3569" max="3569" width="21.5703125" customWidth="1"/>
    <col min="3570" max="3570" width="17.28515625" customWidth="1"/>
    <col min="3571" max="3571" width="16.42578125" customWidth="1"/>
    <col min="3572" max="3572" width="9.85546875" customWidth="1"/>
    <col min="3573" max="3573" width="9.140625" customWidth="1"/>
    <col min="3574" max="3574" width="14.28515625" customWidth="1"/>
    <col min="3575" max="3575" width="8.42578125" customWidth="1"/>
    <col min="3576" max="3576" width="6.7109375" customWidth="1"/>
    <col min="3577" max="3577" width="7.42578125" customWidth="1"/>
    <col min="3585" max="3585" width="4.42578125" customWidth="1"/>
    <col min="3586" max="3586" width="7.42578125" customWidth="1"/>
    <col min="3587" max="3587" width="6.7109375" customWidth="1"/>
    <col min="3588" max="3588" width="26.42578125" customWidth="1"/>
    <col min="3589" max="3589" width="17.5703125" customWidth="1"/>
    <col min="3590" max="3590" width="13" bestFit="1" customWidth="1"/>
    <col min="3591" max="3591" width="11.28515625" customWidth="1"/>
    <col min="3592" max="3592" width="14.28515625" customWidth="1"/>
    <col min="3593" max="3593" width="12.7109375" customWidth="1"/>
    <col min="3594" max="3595" width="0" hidden="1" customWidth="1"/>
    <col min="3596" max="3596" width="8.5703125" customWidth="1"/>
    <col min="3597" max="3597" width="14.7109375" bestFit="1" customWidth="1"/>
    <col min="3598" max="3598" width="13.7109375" customWidth="1"/>
    <col min="3599" max="3599" width="16.28515625" bestFit="1" customWidth="1"/>
    <col min="3600" max="3600" width="14.85546875" customWidth="1"/>
    <col min="3601" max="3601" width="12.140625" customWidth="1"/>
    <col min="3602" max="3603" width="11.42578125" bestFit="1" customWidth="1"/>
    <col min="3604" max="3605" width="9.7109375" customWidth="1"/>
    <col min="3606" max="3606" width="15.85546875" customWidth="1"/>
    <col min="3607" max="3607" width="14.7109375" customWidth="1"/>
    <col min="3608" max="3608" width="14.85546875" customWidth="1"/>
    <col min="3609" max="3609" width="22.42578125" customWidth="1"/>
    <col min="3610" max="3610" width="2.85546875" customWidth="1"/>
    <col min="3611" max="3611" width="12.140625" bestFit="1" customWidth="1"/>
    <col min="3612" max="3823" width="9.140625" customWidth="1"/>
    <col min="3824" max="3824" width="4.42578125" customWidth="1"/>
    <col min="3825" max="3825" width="21.5703125" customWidth="1"/>
    <col min="3826" max="3826" width="17.28515625" customWidth="1"/>
    <col min="3827" max="3827" width="16.42578125" customWidth="1"/>
    <col min="3828" max="3828" width="9.85546875" customWidth="1"/>
    <col min="3829" max="3829" width="9.140625" customWidth="1"/>
    <col min="3830" max="3830" width="14.28515625" customWidth="1"/>
    <col min="3831" max="3831" width="8.42578125" customWidth="1"/>
    <col min="3832" max="3832" width="6.7109375" customWidth="1"/>
    <col min="3833" max="3833" width="7.42578125" customWidth="1"/>
    <col min="3841" max="3841" width="4.42578125" customWidth="1"/>
    <col min="3842" max="3842" width="7.42578125" customWidth="1"/>
    <col min="3843" max="3843" width="6.7109375" customWidth="1"/>
    <col min="3844" max="3844" width="26.42578125" customWidth="1"/>
    <col min="3845" max="3845" width="17.5703125" customWidth="1"/>
    <col min="3846" max="3846" width="13" bestFit="1" customWidth="1"/>
    <col min="3847" max="3847" width="11.28515625" customWidth="1"/>
    <col min="3848" max="3848" width="14.28515625" customWidth="1"/>
    <col min="3849" max="3849" width="12.7109375" customWidth="1"/>
    <col min="3850" max="3851" width="0" hidden="1" customWidth="1"/>
    <col min="3852" max="3852" width="8.5703125" customWidth="1"/>
    <col min="3853" max="3853" width="14.7109375" bestFit="1" customWidth="1"/>
    <col min="3854" max="3854" width="13.7109375" customWidth="1"/>
    <col min="3855" max="3855" width="16.28515625" bestFit="1" customWidth="1"/>
    <col min="3856" max="3856" width="14.85546875" customWidth="1"/>
    <col min="3857" max="3857" width="12.140625" customWidth="1"/>
    <col min="3858" max="3859" width="11.42578125" bestFit="1" customWidth="1"/>
    <col min="3860" max="3861" width="9.7109375" customWidth="1"/>
    <col min="3862" max="3862" width="15.85546875" customWidth="1"/>
    <col min="3863" max="3863" width="14.7109375" customWidth="1"/>
    <col min="3864" max="3864" width="14.85546875" customWidth="1"/>
    <col min="3865" max="3865" width="22.42578125" customWidth="1"/>
    <col min="3866" max="3866" width="2.85546875" customWidth="1"/>
    <col min="3867" max="3867" width="12.140625" bestFit="1" customWidth="1"/>
    <col min="3868" max="4079" width="9.140625" customWidth="1"/>
    <col min="4080" max="4080" width="4.42578125" customWidth="1"/>
    <col min="4081" max="4081" width="21.5703125" customWidth="1"/>
    <col min="4082" max="4082" width="17.28515625" customWidth="1"/>
    <col min="4083" max="4083" width="16.42578125" customWidth="1"/>
    <col min="4084" max="4084" width="9.85546875" customWidth="1"/>
    <col min="4085" max="4085" width="9.140625" customWidth="1"/>
    <col min="4086" max="4086" width="14.28515625" customWidth="1"/>
    <col min="4087" max="4087" width="8.42578125" customWidth="1"/>
    <col min="4088" max="4088" width="6.7109375" customWidth="1"/>
    <col min="4089" max="4089" width="7.42578125" customWidth="1"/>
    <col min="4097" max="4097" width="4.42578125" customWidth="1"/>
    <col min="4098" max="4098" width="7.42578125" customWidth="1"/>
    <col min="4099" max="4099" width="6.7109375" customWidth="1"/>
    <col min="4100" max="4100" width="26.42578125" customWidth="1"/>
    <col min="4101" max="4101" width="17.5703125" customWidth="1"/>
    <col min="4102" max="4102" width="13" bestFit="1" customWidth="1"/>
    <col min="4103" max="4103" width="11.28515625" customWidth="1"/>
    <col min="4104" max="4104" width="14.28515625" customWidth="1"/>
    <col min="4105" max="4105" width="12.7109375" customWidth="1"/>
    <col min="4106" max="4107" width="0" hidden="1" customWidth="1"/>
    <col min="4108" max="4108" width="8.5703125" customWidth="1"/>
    <col min="4109" max="4109" width="14.7109375" bestFit="1" customWidth="1"/>
    <col min="4110" max="4110" width="13.7109375" customWidth="1"/>
    <col min="4111" max="4111" width="16.28515625" bestFit="1" customWidth="1"/>
    <col min="4112" max="4112" width="14.85546875" customWidth="1"/>
    <col min="4113" max="4113" width="12.140625" customWidth="1"/>
    <col min="4114" max="4115" width="11.42578125" bestFit="1" customWidth="1"/>
    <col min="4116" max="4117" width="9.7109375" customWidth="1"/>
    <col min="4118" max="4118" width="15.85546875" customWidth="1"/>
    <col min="4119" max="4119" width="14.7109375" customWidth="1"/>
    <col min="4120" max="4120" width="14.85546875" customWidth="1"/>
    <col min="4121" max="4121" width="22.42578125" customWidth="1"/>
    <col min="4122" max="4122" width="2.85546875" customWidth="1"/>
    <col min="4123" max="4123" width="12.140625" bestFit="1" customWidth="1"/>
    <col min="4124" max="4335" width="9.140625" customWidth="1"/>
    <col min="4336" max="4336" width="4.42578125" customWidth="1"/>
    <col min="4337" max="4337" width="21.5703125" customWidth="1"/>
    <col min="4338" max="4338" width="17.28515625" customWidth="1"/>
    <col min="4339" max="4339" width="16.42578125" customWidth="1"/>
    <col min="4340" max="4340" width="9.85546875" customWidth="1"/>
    <col min="4341" max="4341" width="9.140625" customWidth="1"/>
    <col min="4342" max="4342" width="14.28515625" customWidth="1"/>
    <col min="4343" max="4343" width="8.42578125" customWidth="1"/>
    <col min="4344" max="4344" width="6.7109375" customWidth="1"/>
    <col min="4345" max="4345" width="7.42578125" customWidth="1"/>
    <col min="4353" max="4353" width="4.42578125" customWidth="1"/>
    <col min="4354" max="4354" width="7.42578125" customWidth="1"/>
    <col min="4355" max="4355" width="6.7109375" customWidth="1"/>
    <col min="4356" max="4356" width="26.42578125" customWidth="1"/>
    <col min="4357" max="4357" width="17.5703125" customWidth="1"/>
    <col min="4358" max="4358" width="13" bestFit="1" customWidth="1"/>
    <col min="4359" max="4359" width="11.28515625" customWidth="1"/>
    <col min="4360" max="4360" width="14.28515625" customWidth="1"/>
    <col min="4361" max="4361" width="12.7109375" customWidth="1"/>
    <col min="4362" max="4363" width="0" hidden="1" customWidth="1"/>
    <col min="4364" max="4364" width="8.5703125" customWidth="1"/>
    <col min="4365" max="4365" width="14.7109375" bestFit="1" customWidth="1"/>
    <col min="4366" max="4366" width="13.7109375" customWidth="1"/>
    <col min="4367" max="4367" width="16.28515625" bestFit="1" customWidth="1"/>
    <col min="4368" max="4368" width="14.85546875" customWidth="1"/>
    <col min="4369" max="4369" width="12.140625" customWidth="1"/>
    <col min="4370" max="4371" width="11.42578125" bestFit="1" customWidth="1"/>
    <col min="4372" max="4373" width="9.7109375" customWidth="1"/>
    <col min="4374" max="4374" width="15.85546875" customWidth="1"/>
    <col min="4375" max="4375" width="14.7109375" customWidth="1"/>
    <col min="4376" max="4376" width="14.85546875" customWidth="1"/>
    <col min="4377" max="4377" width="22.42578125" customWidth="1"/>
    <col min="4378" max="4378" width="2.85546875" customWidth="1"/>
    <col min="4379" max="4379" width="12.140625" bestFit="1" customWidth="1"/>
    <col min="4380" max="4591" width="9.140625" customWidth="1"/>
    <col min="4592" max="4592" width="4.42578125" customWidth="1"/>
    <col min="4593" max="4593" width="21.5703125" customWidth="1"/>
    <col min="4594" max="4594" width="17.28515625" customWidth="1"/>
    <col min="4595" max="4595" width="16.42578125" customWidth="1"/>
    <col min="4596" max="4596" width="9.85546875" customWidth="1"/>
    <col min="4597" max="4597" width="9.140625" customWidth="1"/>
    <col min="4598" max="4598" width="14.28515625" customWidth="1"/>
    <col min="4599" max="4599" width="8.42578125" customWidth="1"/>
    <col min="4600" max="4600" width="6.7109375" customWidth="1"/>
    <col min="4601" max="4601" width="7.42578125" customWidth="1"/>
    <col min="4609" max="4609" width="4.42578125" customWidth="1"/>
    <col min="4610" max="4610" width="7.42578125" customWidth="1"/>
    <col min="4611" max="4611" width="6.7109375" customWidth="1"/>
    <col min="4612" max="4612" width="26.42578125" customWidth="1"/>
    <col min="4613" max="4613" width="17.5703125" customWidth="1"/>
    <col min="4614" max="4614" width="13" bestFit="1" customWidth="1"/>
    <col min="4615" max="4615" width="11.28515625" customWidth="1"/>
    <col min="4616" max="4616" width="14.28515625" customWidth="1"/>
    <col min="4617" max="4617" width="12.7109375" customWidth="1"/>
    <col min="4618" max="4619" width="0" hidden="1" customWidth="1"/>
    <col min="4620" max="4620" width="8.5703125" customWidth="1"/>
    <col min="4621" max="4621" width="14.7109375" bestFit="1" customWidth="1"/>
    <col min="4622" max="4622" width="13.7109375" customWidth="1"/>
    <col min="4623" max="4623" width="16.28515625" bestFit="1" customWidth="1"/>
    <col min="4624" max="4624" width="14.85546875" customWidth="1"/>
    <col min="4625" max="4625" width="12.140625" customWidth="1"/>
    <col min="4626" max="4627" width="11.42578125" bestFit="1" customWidth="1"/>
    <col min="4628" max="4629" width="9.7109375" customWidth="1"/>
    <col min="4630" max="4630" width="15.85546875" customWidth="1"/>
    <col min="4631" max="4631" width="14.7109375" customWidth="1"/>
    <col min="4632" max="4632" width="14.85546875" customWidth="1"/>
    <col min="4633" max="4633" width="22.42578125" customWidth="1"/>
    <col min="4634" max="4634" width="2.85546875" customWidth="1"/>
    <col min="4635" max="4635" width="12.140625" bestFit="1" customWidth="1"/>
    <col min="4636" max="4847" width="9.140625" customWidth="1"/>
    <col min="4848" max="4848" width="4.42578125" customWidth="1"/>
    <col min="4849" max="4849" width="21.5703125" customWidth="1"/>
    <col min="4850" max="4850" width="17.28515625" customWidth="1"/>
    <col min="4851" max="4851" width="16.42578125" customWidth="1"/>
    <col min="4852" max="4852" width="9.85546875" customWidth="1"/>
    <col min="4853" max="4853" width="9.140625" customWidth="1"/>
    <col min="4854" max="4854" width="14.28515625" customWidth="1"/>
    <col min="4855" max="4855" width="8.42578125" customWidth="1"/>
    <col min="4856" max="4856" width="6.7109375" customWidth="1"/>
    <col min="4857" max="4857" width="7.42578125" customWidth="1"/>
    <col min="4865" max="4865" width="4.42578125" customWidth="1"/>
    <col min="4866" max="4866" width="7.42578125" customWidth="1"/>
    <col min="4867" max="4867" width="6.7109375" customWidth="1"/>
    <col min="4868" max="4868" width="26.42578125" customWidth="1"/>
    <col min="4869" max="4869" width="17.5703125" customWidth="1"/>
    <col min="4870" max="4870" width="13" bestFit="1" customWidth="1"/>
    <col min="4871" max="4871" width="11.28515625" customWidth="1"/>
    <col min="4872" max="4872" width="14.28515625" customWidth="1"/>
    <col min="4873" max="4873" width="12.7109375" customWidth="1"/>
    <col min="4874" max="4875" width="0" hidden="1" customWidth="1"/>
    <col min="4876" max="4876" width="8.5703125" customWidth="1"/>
    <col min="4877" max="4877" width="14.7109375" bestFit="1" customWidth="1"/>
    <col min="4878" max="4878" width="13.7109375" customWidth="1"/>
    <col min="4879" max="4879" width="16.28515625" bestFit="1" customWidth="1"/>
    <col min="4880" max="4880" width="14.85546875" customWidth="1"/>
    <col min="4881" max="4881" width="12.140625" customWidth="1"/>
    <col min="4882" max="4883" width="11.42578125" bestFit="1" customWidth="1"/>
    <col min="4884" max="4885" width="9.7109375" customWidth="1"/>
    <col min="4886" max="4886" width="15.85546875" customWidth="1"/>
    <col min="4887" max="4887" width="14.7109375" customWidth="1"/>
    <col min="4888" max="4888" width="14.85546875" customWidth="1"/>
    <col min="4889" max="4889" width="22.42578125" customWidth="1"/>
    <col min="4890" max="4890" width="2.85546875" customWidth="1"/>
    <col min="4891" max="4891" width="12.140625" bestFit="1" customWidth="1"/>
    <col min="4892" max="5103" width="9.140625" customWidth="1"/>
    <col min="5104" max="5104" width="4.42578125" customWidth="1"/>
    <col min="5105" max="5105" width="21.5703125" customWidth="1"/>
    <col min="5106" max="5106" width="17.28515625" customWidth="1"/>
    <col min="5107" max="5107" width="16.42578125" customWidth="1"/>
    <col min="5108" max="5108" width="9.85546875" customWidth="1"/>
    <col min="5109" max="5109" width="9.140625" customWidth="1"/>
    <col min="5110" max="5110" width="14.28515625" customWidth="1"/>
    <col min="5111" max="5111" width="8.42578125" customWidth="1"/>
    <col min="5112" max="5112" width="6.7109375" customWidth="1"/>
    <col min="5113" max="5113" width="7.42578125" customWidth="1"/>
    <col min="5121" max="5121" width="4.42578125" customWidth="1"/>
    <col min="5122" max="5122" width="7.42578125" customWidth="1"/>
    <col min="5123" max="5123" width="6.7109375" customWidth="1"/>
    <col min="5124" max="5124" width="26.42578125" customWidth="1"/>
    <col min="5125" max="5125" width="17.5703125" customWidth="1"/>
    <col min="5126" max="5126" width="13" bestFit="1" customWidth="1"/>
    <col min="5127" max="5127" width="11.28515625" customWidth="1"/>
    <col min="5128" max="5128" width="14.28515625" customWidth="1"/>
    <col min="5129" max="5129" width="12.7109375" customWidth="1"/>
    <col min="5130" max="5131" width="0" hidden="1" customWidth="1"/>
    <col min="5132" max="5132" width="8.5703125" customWidth="1"/>
    <col min="5133" max="5133" width="14.7109375" bestFit="1" customWidth="1"/>
    <col min="5134" max="5134" width="13.7109375" customWidth="1"/>
    <col min="5135" max="5135" width="16.28515625" bestFit="1" customWidth="1"/>
    <col min="5136" max="5136" width="14.85546875" customWidth="1"/>
    <col min="5137" max="5137" width="12.140625" customWidth="1"/>
    <col min="5138" max="5139" width="11.42578125" bestFit="1" customWidth="1"/>
    <col min="5140" max="5141" width="9.7109375" customWidth="1"/>
    <col min="5142" max="5142" width="15.85546875" customWidth="1"/>
    <col min="5143" max="5143" width="14.7109375" customWidth="1"/>
    <col min="5144" max="5144" width="14.85546875" customWidth="1"/>
    <col min="5145" max="5145" width="22.42578125" customWidth="1"/>
    <col min="5146" max="5146" width="2.85546875" customWidth="1"/>
    <col min="5147" max="5147" width="12.140625" bestFit="1" customWidth="1"/>
    <col min="5148" max="5359" width="9.140625" customWidth="1"/>
    <col min="5360" max="5360" width="4.42578125" customWidth="1"/>
    <col min="5361" max="5361" width="21.5703125" customWidth="1"/>
    <col min="5362" max="5362" width="17.28515625" customWidth="1"/>
    <col min="5363" max="5363" width="16.42578125" customWidth="1"/>
    <col min="5364" max="5364" width="9.85546875" customWidth="1"/>
    <col min="5365" max="5365" width="9.140625" customWidth="1"/>
    <col min="5366" max="5366" width="14.28515625" customWidth="1"/>
    <col min="5367" max="5367" width="8.42578125" customWidth="1"/>
    <col min="5368" max="5368" width="6.7109375" customWidth="1"/>
    <col min="5369" max="5369" width="7.42578125" customWidth="1"/>
    <col min="5377" max="5377" width="4.42578125" customWidth="1"/>
    <col min="5378" max="5378" width="7.42578125" customWidth="1"/>
    <col min="5379" max="5379" width="6.7109375" customWidth="1"/>
    <col min="5380" max="5380" width="26.42578125" customWidth="1"/>
    <col min="5381" max="5381" width="17.5703125" customWidth="1"/>
    <col min="5382" max="5382" width="13" bestFit="1" customWidth="1"/>
    <col min="5383" max="5383" width="11.28515625" customWidth="1"/>
    <col min="5384" max="5384" width="14.28515625" customWidth="1"/>
    <col min="5385" max="5385" width="12.7109375" customWidth="1"/>
    <col min="5386" max="5387" width="0" hidden="1" customWidth="1"/>
    <col min="5388" max="5388" width="8.5703125" customWidth="1"/>
    <col min="5389" max="5389" width="14.7109375" bestFit="1" customWidth="1"/>
    <col min="5390" max="5390" width="13.7109375" customWidth="1"/>
    <col min="5391" max="5391" width="16.28515625" bestFit="1" customWidth="1"/>
    <col min="5392" max="5392" width="14.85546875" customWidth="1"/>
    <col min="5393" max="5393" width="12.140625" customWidth="1"/>
    <col min="5394" max="5395" width="11.42578125" bestFit="1" customWidth="1"/>
    <col min="5396" max="5397" width="9.7109375" customWidth="1"/>
    <col min="5398" max="5398" width="15.85546875" customWidth="1"/>
    <col min="5399" max="5399" width="14.7109375" customWidth="1"/>
    <col min="5400" max="5400" width="14.85546875" customWidth="1"/>
    <col min="5401" max="5401" width="22.42578125" customWidth="1"/>
    <col min="5402" max="5402" width="2.85546875" customWidth="1"/>
    <col min="5403" max="5403" width="12.140625" bestFit="1" customWidth="1"/>
    <col min="5404" max="5615" width="9.140625" customWidth="1"/>
    <col min="5616" max="5616" width="4.42578125" customWidth="1"/>
    <col min="5617" max="5617" width="21.5703125" customWidth="1"/>
    <col min="5618" max="5618" width="17.28515625" customWidth="1"/>
    <col min="5619" max="5619" width="16.42578125" customWidth="1"/>
    <col min="5620" max="5620" width="9.85546875" customWidth="1"/>
    <col min="5621" max="5621" width="9.140625" customWidth="1"/>
    <col min="5622" max="5622" width="14.28515625" customWidth="1"/>
    <col min="5623" max="5623" width="8.42578125" customWidth="1"/>
    <col min="5624" max="5624" width="6.7109375" customWidth="1"/>
    <col min="5625" max="5625" width="7.42578125" customWidth="1"/>
    <col min="5633" max="5633" width="4.42578125" customWidth="1"/>
    <col min="5634" max="5634" width="7.42578125" customWidth="1"/>
    <col min="5635" max="5635" width="6.7109375" customWidth="1"/>
    <col min="5636" max="5636" width="26.42578125" customWidth="1"/>
    <col min="5637" max="5637" width="17.5703125" customWidth="1"/>
    <col min="5638" max="5638" width="13" bestFit="1" customWidth="1"/>
    <col min="5639" max="5639" width="11.28515625" customWidth="1"/>
    <col min="5640" max="5640" width="14.28515625" customWidth="1"/>
    <col min="5641" max="5641" width="12.7109375" customWidth="1"/>
    <col min="5642" max="5643" width="0" hidden="1" customWidth="1"/>
    <col min="5644" max="5644" width="8.5703125" customWidth="1"/>
    <col min="5645" max="5645" width="14.7109375" bestFit="1" customWidth="1"/>
    <col min="5646" max="5646" width="13.7109375" customWidth="1"/>
    <col min="5647" max="5647" width="16.28515625" bestFit="1" customWidth="1"/>
    <col min="5648" max="5648" width="14.85546875" customWidth="1"/>
    <col min="5649" max="5649" width="12.140625" customWidth="1"/>
    <col min="5650" max="5651" width="11.42578125" bestFit="1" customWidth="1"/>
    <col min="5652" max="5653" width="9.7109375" customWidth="1"/>
    <col min="5654" max="5654" width="15.85546875" customWidth="1"/>
    <col min="5655" max="5655" width="14.7109375" customWidth="1"/>
    <col min="5656" max="5656" width="14.85546875" customWidth="1"/>
    <col min="5657" max="5657" width="22.42578125" customWidth="1"/>
    <col min="5658" max="5658" width="2.85546875" customWidth="1"/>
    <col min="5659" max="5659" width="12.140625" bestFit="1" customWidth="1"/>
    <col min="5660" max="5871" width="9.140625" customWidth="1"/>
    <col min="5872" max="5872" width="4.42578125" customWidth="1"/>
    <col min="5873" max="5873" width="21.5703125" customWidth="1"/>
    <col min="5874" max="5874" width="17.28515625" customWidth="1"/>
    <col min="5875" max="5875" width="16.42578125" customWidth="1"/>
    <col min="5876" max="5876" width="9.85546875" customWidth="1"/>
    <col min="5877" max="5877" width="9.140625" customWidth="1"/>
    <col min="5878" max="5878" width="14.28515625" customWidth="1"/>
    <col min="5879" max="5879" width="8.42578125" customWidth="1"/>
    <col min="5880" max="5880" width="6.7109375" customWidth="1"/>
    <col min="5881" max="5881" width="7.42578125" customWidth="1"/>
    <col min="5889" max="5889" width="4.42578125" customWidth="1"/>
    <col min="5890" max="5890" width="7.42578125" customWidth="1"/>
    <col min="5891" max="5891" width="6.7109375" customWidth="1"/>
    <col min="5892" max="5892" width="26.42578125" customWidth="1"/>
    <col min="5893" max="5893" width="17.5703125" customWidth="1"/>
    <col min="5894" max="5894" width="13" bestFit="1" customWidth="1"/>
    <col min="5895" max="5895" width="11.28515625" customWidth="1"/>
    <col min="5896" max="5896" width="14.28515625" customWidth="1"/>
    <col min="5897" max="5897" width="12.7109375" customWidth="1"/>
    <col min="5898" max="5899" width="0" hidden="1" customWidth="1"/>
    <col min="5900" max="5900" width="8.5703125" customWidth="1"/>
    <col min="5901" max="5901" width="14.7109375" bestFit="1" customWidth="1"/>
    <col min="5902" max="5902" width="13.7109375" customWidth="1"/>
    <col min="5903" max="5903" width="16.28515625" bestFit="1" customWidth="1"/>
    <col min="5904" max="5904" width="14.85546875" customWidth="1"/>
    <col min="5905" max="5905" width="12.140625" customWidth="1"/>
    <col min="5906" max="5907" width="11.42578125" bestFit="1" customWidth="1"/>
    <col min="5908" max="5909" width="9.7109375" customWidth="1"/>
    <col min="5910" max="5910" width="15.85546875" customWidth="1"/>
    <col min="5911" max="5911" width="14.7109375" customWidth="1"/>
    <col min="5912" max="5912" width="14.85546875" customWidth="1"/>
    <col min="5913" max="5913" width="22.42578125" customWidth="1"/>
    <col min="5914" max="5914" width="2.85546875" customWidth="1"/>
    <col min="5915" max="5915" width="12.140625" bestFit="1" customWidth="1"/>
    <col min="5916" max="6127" width="9.140625" customWidth="1"/>
    <col min="6128" max="6128" width="4.42578125" customWidth="1"/>
    <col min="6129" max="6129" width="21.5703125" customWidth="1"/>
    <col min="6130" max="6130" width="17.28515625" customWidth="1"/>
    <col min="6131" max="6131" width="16.42578125" customWidth="1"/>
    <col min="6132" max="6132" width="9.85546875" customWidth="1"/>
    <col min="6133" max="6133" width="9.140625" customWidth="1"/>
    <col min="6134" max="6134" width="14.28515625" customWidth="1"/>
    <col min="6135" max="6135" width="8.42578125" customWidth="1"/>
    <col min="6136" max="6136" width="6.7109375" customWidth="1"/>
    <col min="6137" max="6137" width="7.42578125" customWidth="1"/>
    <col min="6145" max="6145" width="4.42578125" customWidth="1"/>
    <col min="6146" max="6146" width="7.42578125" customWidth="1"/>
    <col min="6147" max="6147" width="6.7109375" customWidth="1"/>
    <col min="6148" max="6148" width="26.42578125" customWidth="1"/>
    <col min="6149" max="6149" width="17.5703125" customWidth="1"/>
    <col min="6150" max="6150" width="13" bestFit="1" customWidth="1"/>
    <col min="6151" max="6151" width="11.28515625" customWidth="1"/>
    <col min="6152" max="6152" width="14.28515625" customWidth="1"/>
    <col min="6153" max="6153" width="12.7109375" customWidth="1"/>
    <col min="6154" max="6155" width="0" hidden="1" customWidth="1"/>
    <col min="6156" max="6156" width="8.5703125" customWidth="1"/>
    <col min="6157" max="6157" width="14.7109375" bestFit="1" customWidth="1"/>
    <col min="6158" max="6158" width="13.7109375" customWidth="1"/>
    <col min="6159" max="6159" width="16.28515625" bestFit="1" customWidth="1"/>
    <col min="6160" max="6160" width="14.85546875" customWidth="1"/>
    <col min="6161" max="6161" width="12.140625" customWidth="1"/>
    <col min="6162" max="6163" width="11.42578125" bestFit="1" customWidth="1"/>
    <col min="6164" max="6165" width="9.7109375" customWidth="1"/>
    <col min="6166" max="6166" width="15.85546875" customWidth="1"/>
    <col min="6167" max="6167" width="14.7109375" customWidth="1"/>
    <col min="6168" max="6168" width="14.85546875" customWidth="1"/>
    <col min="6169" max="6169" width="22.42578125" customWidth="1"/>
    <col min="6170" max="6170" width="2.85546875" customWidth="1"/>
    <col min="6171" max="6171" width="12.140625" bestFit="1" customWidth="1"/>
    <col min="6172" max="6383" width="9.140625" customWidth="1"/>
    <col min="6384" max="6384" width="4.42578125" customWidth="1"/>
    <col min="6385" max="6385" width="21.5703125" customWidth="1"/>
    <col min="6386" max="6386" width="17.28515625" customWidth="1"/>
    <col min="6387" max="6387" width="16.42578125" customWidth="1"/>
    <col min="6388" max="6388" width="9.85546875" customWidth="1"/>
    <col min="6389" max="6389" width="9.140625" customWidth="1"/>
    <col min="6390" max="6390" width="14.28515625" customWidth="1"/>
    <col min="6391" max="6391" width="8.42578125" customWidth="1"/>
    <col min="6392" max="6392" width="6.7109375" customWidth="1"/>
    <col min="6393" max="6393" width="7.42578125" customWidth="1"/>
    <col min="6401" max="6401" width="4.42578125" customWidth="1"/>
    <col min="6402" max="6402" width="7.42578125" customWidth="1"/>
    <col min="6403" max="6403" width="6.7109375" customWidth="1"/>
    <col min="6404" max="6404" width="26.42578125" customWidth="1"/>
    <col min="6405" max="6405" width="17.5703125" customWidth="1"/>
    <col min="6406" max="6406" width="13" bestFit="1" customWidth="1"/>
    <col min="6407" max="6407" width="11.28515625" customWidth="1"/>
    <col min="6408" max="6408" width="14.28515625" customWidth="1"/>
    <col min="6409" max="6409" width="12.7109375" customWidth="1"/>
    <col min="6410" max="6411" width="0" hidden="1" customWidth="1"/>
    <col min="6412" max="6412" width="8.5703125" customWidth="1"/>
    <col min="6413" max="6413" width="14.7109375" bestFit="1" customWidth="1"/>
    <col min="6414" max="6414" width="13.7109375" customWidth="1"/>
    <col min="6415" max="6415" width="16.28515625" bestFit="1" customWidth="1"/>
    <col min="6416" max="6416" width="14.85546875" customWidth="1"/>
    <col min="6417" max="6417" width="12.140625" customWidth="1"/>
    <col min="6418" max="6419" width="11.42578125" bestFit="1" customWidth="1"/>
    <col min="6420" max="6421" width="9.7109375" customWidth="1"/>
    <col min="6422" max="6422" width="15.85546875" customWidth="1"/>
    <col min="6423" max="6423" width="14.7109375" customWidth="1"/>
    <col min="6424" max="6424" width="14.85546875" customWidth="1"/>
    <col min="6425" max="6425" width="22.42578125" customWidth="1"/>
    <col min="6426" max="6426" width="2.85546875" customWidth="1"/>
    <col min="6427" max="6427" width="12.140625" bestFit="1" customWidth="1"/>
    <col min="6428" max="6639" width="9.140625" customWidth="1"/>
    <col min="6640" max="6640" width="4.42578125" customWidth="1"/>
    <col min="6641" max="6641" width="21.5703125" customWidth="1"/>
    <col min="6642" max="6642" width="17.28515625" customWidth="1"/>
    <col min="6643" max="6643" width="16.42578125" customWidth="1"/>
    <col min="6644" max="6644" width="9.85546875" customWidth="1"/>
    <col min="6645" max="6645" width="9.140625" customWidth="1"/>
    <col min="6646" max="6646" width="14.28515625" customWidth="1"/>
    <col min="6647" max="6647" width="8.42578125" customWidth="1"/>
    <col min="6648" max="6648" width="6.7109375" customWidth="1"/>
    <col min="6649" max="6649" width="7.42578125" customWidth="1"/>
    <col min="6657" max="6657" width="4.42578125" customWidth="1"/>
    <col min="6658" max="6658" width="7.42578125" customWidth="1"/>
    <col min="6659" max="6659" width="6.7109375" customWidth="1"/>
    <col min="6660" max="6660" width="26.42578125" customWidth="1"/>
    <col min="6661" max="6661" width="17.5703125" customWidth="1"/>
    <col min="6662" max="6662" width="13" bestFit="1" customWidth="1"/>
    <col min="6663" max="6663" width="11.28515625" customWidth="1"/>
    <col min="6664" max="6664" width="14.28515625" customWidth="1"/>
    <col min="6665" max="6665" width="12.7109375" customWidth="1"/>
    <col min="6666" max="6667" width="0" hidden="1" customWidth="1"/>
    <col min="6668" max="6668" width="8.5703125" customWidth="1"/>
    <col min="6669" max="6669" width="14.7109375" bestFit="1" customWidth="1"/>
    <col min="6670" max="6670" width="13.7109375" customWidth="1"/>
    <col min="6671" max="6671" width="16.28515625" bestFit="1" customWidth="1"/>
    <col min="6672" max="6672" width="14.85546875" customWidth="1"/>
    <col min="6673" max="6673" width="12.140625" customWidth="1"/>
    <col min="6674" max="6675" width="11.42578125" bestFit="1" customWidth="1"/>
    <col min="6676" max="6677" width="9.7109375" customWidth="1"/>
    <col min="6678" max="6678" width="15.85546875" customWidth="1"/>
    <col min="6679" max="6679" width="14.7109375" customWidth="1"/>
    <col min="6680" max="6680" width="14.85546875" customWidth="1"/>
    <col min="6681" max="6681" width="22.42578125" customWidth="1"/>
    <col min="6682" max="6682" width="2.85546875" customWidth="1"/>
    <col min="6683" max="6683" width="12.140625" bestFit="1" customWidth="1"/>
    <col min="6684" max="6895" width="9.140625" customWidth="1"/>
    <col min="6896" max="6896" width="4.42578125" customWidth="1"/>
    <col min="6897" max="6897" width="21.5703125" customWidth="1"/>
    <col min="6898" max="6898" width="17.28515625" customWidth="1"/>
    <col min="6899" max="6899" width="16.42578125" customWidth="1"/>
    <col min="6900" max="6900" width="9.85546875" customWidth="1"/>
    <col min="6901" max="6901" width="9.140625" customWidth="1"/>
    <col min="6902" max="6902" width="14.28515625" customWidth="1"/>
    <col min="6903" max="6903" width="8.42578125" customWidth="1"/>
    <col min="6904" max="6904" width="6.7109375" customWidth="1"/>
    <col min="6905" max="6905" width="7.42578125" customWidth="1"/>
    <col min="6913" max="6913" width="4.42578125" customWidth="1"/>
    <col min="6914" max="6914" width="7.42578125" customWidth="1"/>
    <col min="6915" max="6915" width="6.7109375" customWidth="1"/>
    <col min="6916" max="6916" width="26.42578125" customWidth="1"/>
    <col min="6917" max="6917" width="17.5703125" customWidth="1"/>
    <col min="6918" max="6918" width="13" bestFit="1" customWidth="1"/>
    <col min="6919" max="6919" width="11.28515625" customWidth="1"/>
    <col min="6920" max="6920" width="14.28515625" customWidth="1"/>
    <col min="6921" max="6921" width="12.7109375" customWidth="1"/>
    <col min="6922" max="6923" width="0" hidden="1" customWidth="1"/>
    <col min="6924" max="6924" width="8.5703125" customWidth="1"/>
    <col min="6925" max="6925" width="14.7109375" bestFit="1" customWidth="1"/>
    <col min="6926" max="6926" width="13.7109375" customWidth="1"/>
    <col min="6927" max="6927" width="16.28515625" bestFit="1" customWidth="1"/>
    <col min="6928" max="6928" width="14.85546875" customWidth="1"/>
    <col min="6929" max="6929" width="12.140625" customWidth="1"/>
    <col min="6930" max="6931" width="11.42578125" bestFit="1" customWidth="1"/>
    <col min="6932" max="6933" width="9.7109375" customWidth="1"/>
    <col min="6934" max="6934" width="15.85546875" customWidth="1"/>
    <col min="6935" max="6935" width="14.7109375" customWidth="1"/>
    <col min="6936" max="6936" width="14.85546875" customWidth="1"/>
    <col min="6937" max="6937" width="22.42578125" customWidth="1"/>
    <col min="6938" max="6938" width="2.85546875" customWidth="1"/>
    <col min="6939" max="6939" width="12.140625" bestFit="1" customWidth="1"/>
    <col min="6940" max="7151" width="9.140625" customWidth="1"/>
    <col min="7152" max="7152" width="4.42578125" customWidth="1"/>
    <col min="7153" max="7153" width="21.5703125" customWidth="1"/>
    <col min="7154" max="7154" width="17.28515625" customWidth="1"/>
    <col min="7155" max="7155" width="16.42578125" customWidth="1"/>
    <col min="7156" max="7156" width="9.85546875" customWidth="1"/>
    <col min="7157" max="7157" width="9.140625" customWidth="1"/>
    <col min="7158" max="7158" width="14.28515625" customWidth="1"/>
    <col min="7159" max="7159" width="8.42578125" customWidth="1"/>
    <col min="7160" max="7160" width="6.7109375" customWidth="1"/>
    <col min="7161" max="7161" width="7.42578125" customWidth="1"/>
    <col min="7169" max="7169" width="4.42578125" customWidth="1"/>
    <col min="7170" max="7170" width="7.42578125" customWidth="1"/>
    <col min="7171" max="7171" width="6.7109375" customWidth="1"/>
    <col min="7172" max="7172" width="26.42578125" customWidth="1"/>
    <col min="7173" max="7173" width="17.5703125" customWidth="1"/>
    <col min="7174" max="7174" width="13" bestFit="1" customWidth="1"/>
    <col min="7175" max="7175" width="11.28515625" customWidth="1"/>
    <col min="7176" max="7176" width="14.28515625" customWidth="1"/>
    <col min="7177" max="7177" width="12.7109375" customWidth="1"/>
    <col min="7178" max="7179" width="0" hidden="1" customWidth="1"/>
    <col min="7180" max="7180" width="8.5703125" customWidth="1"/>
    <col min="7181" max="7181" width="14.7109375" bestFit="1" customWidth="1"/>
    <col min="7182" max="7182" width="13.7109375" customWidth="1"/>
    <col min="7183" max="7183" width="16.28515625" bestFit="1" customWidth="1"/>
    <col min="7184" max="7184" width="14.85546875" customWidth="1"/>
    <col min="7185" max="7185" width="12.140625" customWidth="1"/>
    <col min="7186" max="7187" width="11.42578125" bestFit="1" customWidth="1"/>
    <col min="7188" max="7189" width="9.7109375" customWidth="1"/>
    <col min="7190" max="7190" width="15.85546875" customWidth="1"/>
    <col min="7191" max="7191" width="14.7109375" customWidth="1"/>
    <col min="7192" max="7192" width="14.85546875" customWidth="1"/>
    <col min="7193" max="7193" width="22.42578125" customWidth="1"/>
    <col min="7194" max="7194" width="2.85546875" customWidth="1"/>
    <col min="7195" max="7195" width="12.140625" bestFit="1" customWidth="1"/>
    <col min="7196" max="7407" width="9.140625" customWidth="1"/>
    <col min="7408" max="7408" width="4.42578125" customWidth="1"/>
    <col min="7409" max="7409" width="21.5703125" customWidth="1"/>
    <col min="7410" max="7410" width="17.28515625" customWidth="1"/>
    <col min="7411" max="7411" width="16.42578125" customWidth="1"/>
    <col min="7412" max="7412" width="9.85546875" customWidth="1"/>
    <col min="7413" max="7413" width="9.140625" customWidth="1"/>
    <col min="7414" max="7414" width="14.28515625" customWidth="1"/>
    <col min="7415" max="7415" width="8.42578125" customWidth="1"/>
    <col min="7416" max="7416" width="6.7109375" customWidth="1"/>
    <col min="7417" max="7417" width="7.42578125" customWidth="1"/>
    <col min="7425" max="7425" width="4.42578125" customWidth="1"/>
    <col min="7426" max="7426" width="7.42578125" customWidth="1"/>
    <col min="7427" max="7427" width="6.7109375" customWidth="1"/>
    <col min="7428" max="7428" width="26.42578125" customWidth="1"/>
    <col min="7429" max="7429" width="17.5703125" customWidth="1"/>
    <col min="7430" max="7430" width="13" bestFit="1" customWidth="1"/>
    <col min="7431" max="7431" width="11.28515625" customWidth="1"/>
    <col min="7432" max="7432" width="14.28515625" customWidth="1"/>
    <col min="7433" max="7433" width="12.7109375" customWidth="1"/>
    <col min="7434" max="7435" width="0" hidden="1" customWidth="1"/>
    <col min="7436" max="7436" width="8.5703125" customWidth="1"/>
    <col min="7437" max="7437" width="14.7109375" bestFit="1" customWidth="1"/>
    <col min="7438" max="7438" width="13.7109375" customWidth="1"/>
    <col min="7439" max="7439" width="16.28515625" bestFit="1" customWidth="1"/>
    <col min="7440" max="7440" width="14.85546875" customWidth="1"/>
    <col min="7441" max="7441" width="12.140625" customWidth="1"/>
    <col min="7442" max="7443" width="11.42578125" bestFit="1" customWidth="1"/>
    <col min="7444" max="7445" width="9.7109375" customWidth="1"/>
    <col min="7446" max="7446" width="15.85546875" customWidth="1"/>
    <col min="7447" max="7447" width="14.7109375" customWidth="1"/>
    <col min="7448" max="7448" width="14.85546875" customWidth="1"/>
    <col min="7449" max="7449" width="22.42578125" customWidth="1"/>
    <col min="7450" max="7450" width="2.85546875" customWidth="1"/>
    <col min="7451" max="7451" width="12.140625" bestFit="1" customWidth="1"/>
    <col min="7452" max="7663" width="9.140625" customWidth="1"/>
    <col min="7664" max="7664" width="4.42578125" customWidth="1"/>
    <col min="7665" max="7665" width="21.5703125" customWidth="1"/>
    <col min="7666" max="7666" width="17.28515625" customWidth="1"/>
    <col min="7667" max="7667" width="16.42578125" customWidth="1"/>
    <col min="7668" max="7668" width="9.85546875" customWidth="1"/>
    <col min="7669" max="7669" width="9.140625" customWidth="1"/>
    <col min="7670" max="7670" width="14.28515625" customWidth="1"/>
    <col min="7671" max="7671" width="8.42578125" customWidth="1"/>
    <col min="7672" max="7672" width="6.7109375" customWidth="1"/>
    <col min="7673" max="7673" width="7.42578125" customWidth="1"/>
    <col min="7681" max="7681" width="4.42578125" customWidth="1"/>
    <col min="7682" max="7682" width="7.42578125" customWidth="1"/>
    <col min="7683" max="7683" width="6.7109375" customWidth="1"/>
    <col min="7684" max="7684" width="26.42578125" customWidth="1"/>
    <col min="7685" max="7685" width="17.5703125" customWidth="1"/>
    <col min="7686" max="7686" width="13" bestFit="1" customWidth="1"/>
    <col min="7687" max="7687" width="11.28515625" customWidth="1"/>
    <col min="7688" max="7688" width="14.28515625" customWidth="1"/>
    <col min="7689" max="7689" width="12.7109375" customWidth="1"/>
    <col min="7690" max="7691" width="0" hidden="1" customWidth="1"/>
    <col min="7692" max="7692" width="8.5703125" customWidth="1"/>
    <col min="7693" max="7693" width="14.7109375" bestFit="1" customWidth="1"/>
    <col min="7694" max="7694" width="13.7109375" customWidth="1"/>
    <col min="7695" max="7695" width="16.28515625" bestFit="1" customWidth="1"/>
    <col min="7696" max="7696" width="14.85546875" customWidth="1"/>
    <col min="7697" max="7697" width="12.140625" customWidth="1"/>
    <col min="7698" max="7699" width="11.42578125" bestFit="1" customWidth="1"/>
    <col min="7700" max="7701" width="9.7109375" customWidth="1"/>
    <col min="7702" max="7702" width="15.85546875" customWidth="1"/>
    <col min="7703" max="7703" width="14.7109375" customWidth="1"/>
    <col min="7704" max="7704" width="14.85546875" customWidth="1"/>
    <col min="7705" max="7705" width="22.42578125" customWidth="1"/>
    <col min="7706" max="7706" width="2.85546875" customWidth="1"/>
    <col min="7707" max="7707" width="12.140625" bestFit="1" customWidth="1"/>
    <col min="7708" max="7919" width="9.140625" customWidth="1"/>
    <col min="7920" max="7920" width="4.42578125" customWidth="1"/>
    <col min="7921" max="7921" width="21.5703125" customWidth="1"/>
    <col min="7922" max="7922" width="17.28515625" customWidth="1"/>
    <col min="7923" max="7923" width="16.42578125" customWidth="1"/>
    <col min="7924" max="7924" width="9.85546875" customWidth="1"/>
    <col min="7925" max="7925" width="9.140625" customWidth="1"/>
    <col min="7926" max="7926" width="14.28515625" customWidth="1"/>
    <col min="7927" max="7927" width="8.42578125" customWidth="1"/>
    <col min="7928" max="7928" width="6.7109375" customWidth="1"/>
    <col min="7929" max="7929" width="7.42578125" customWidth="1"/>
    <col min="7937" max="7937" width="4.42578125" customWidth="1"/>
    <col min="7938" max="7938" width="7.42578125" customWidth="1"/>
    <col min="7939" max="7939" width="6.7109375" customWidth="1"/>
    <col min="7940" max="7940" width="26.42578125" customWidth="1"/>
    <col min="7941" max="7941" width="17.5703125" customWidth="1"/>
    <col min="7942" max="7942" width="13" bestFit="1" customWidth="1"/>
    <col min="7943" max="7943" width="11.28515625" customWidth="1"/>
    <col min="7944" max="7944" width="14.28515625" customWidth="1"/>
    <col min="7945" max="7945" width="12.7109375" customWidth="1"/>
    <col min="7946" max="7947" width="0" hidden="1" customWidth="1"/>
    <col min="7948" max="7948" width="8.5703125" customWidth="1"/>
    <col min="7949" max="7949" width="14.7109375" bestFit="1" customWidth="1"/>
    <col min="7950" max="7950" width="13.7109375" customWidth="1"/>
    <col min="7951" max="7951" width="16.28515625" bestFit="1" customWidth="1"/>
    <col min="7952" max="7952" width="14.85546875" customWidth="1"/>
    <col min="7953" max="7953" width="12.140625" customWidth="1"/>
    <col min="7954" max="7955" width="11.42578125" bestFit="1" customWidth="1"/>
    <col min="7956" max="7957" width="9.7109375" customWidth="1"/>
    <col min="7958" max="7958" width="15.85546875" customWidth="1"/>
    <col min="7959" max="7959" width="14.7109375" customWidth="1"/>
    <col min="7960" max="7960" width="14.85546875" customWidth="1"/>
    <col min="7961" max="7961" width="22.42578125" customWidth="1"/>
    <col min="7962" max="7962" width="2.85546875" customWidth="1"/>
    <col min="7963" max="7963" width="12.140625" bestFit="1" customWidth="1"/>
    <col min="7964" max="8175" width="9.140625" customWidth="1"/>
    <col min="8176" max="8176" width="4.42578125" customWidth="1"/>
    <col min="8177" max="8177" width="21.5703125" customWidth="1"/>
    <col min="8178" max="8178" width="17.28515625" customWidth="1"/>
    <col min="8179" max="8179" width="16.42578125" customWidth="1"/>
    <col min="8180" max="8180" width="9.85546875" customWidth="1"/>
    <col min="8181" max="8181" width="9.140625" customWidth="1"/>
    <col min="8182" max="8182" width="14.28515625" customWidth="1"/>
    <col min="8183" max="8183" width="8.42578125" customWidth="1"/>
    <col min="8184" max="8184" width="6.7109375" customWidth="1"/>
    <col min="8185" max="8185" width="7.42578125" customWidth="1"/>
    <col min="8193" max="8193" width="4.42578125" customWidth="1"/>
    <col min="8194" max="8194" width="7.42578125" customWidth="1"/>
    <col min="8195" max="8195" width="6.7109375" customWidth="1"/>
    <col min="8196" max="8196" width="26.42578125" customWidth="1"/>
    <col min="8197" max="8197" width="17.5703125" customWidth="1"/>
    <col min="8198" max="8198" width="13" bestFit="1" customWidth="1"/>
    <col min="8199" max="8199" width="11.28515625" customWidth="1"/>
    <col min="8200" max="8200" width="14.28515625" customWidth="1"/>
    <col min="8201" max="8201" width="12.7109375" customWidth="1"/>
    <col min="8202" max="8203" width="0" hidden="1" customWidth="1"/>
    <col min="8204" max="8204" width="8.5703125" customWidth="1"/>
    <col min="8205" max="8205" width="14.7109375" bestFit="1" customWidth="1"/>
    <col min="8206" max="8206" width="13.7109375" customWidth="1"/>
    <col min="8207" max="8207" width="16.28515625" bestFit="1" customWidth="1"/>
    <col min="8208" max="8208" width="14.85546875" customWidth="1"/>
    <col min="8209" max="8209" width="12.140625" customWidth="1"/>
    <col min="8210" max="8211" width="11.42578125" bestFit="1" customWidth="1"/>
    <col min="8212" max="8213" width="9.7109375" customWidth="1"/>
    <col min="8214" max="8214" width="15.85546875" customWidth="1"/>
    <col min="8215" max="8215" width="14.7109375" customWidth="1"/>
    <col min="8216" max="8216" width="14.85546875" customWidth="1"/>
    <col min="8217" max="8217" width="22.42578125" customWidth="1"/>
    <col min="8218" max="8218" width="2.85546875" customWidth="1"/>
    <col min="8219" max="8219" width="12.140625" bestFit="1" customWidth="1"/>
    <col min="8220" max="8431" width="9.140625" customWidth="1"/>
    <col min="8432" max="8432" width="4.42578125" customWidth="1"/>
    <col min="8433" max="8433" width="21.5703125" customWidth="1"/>
    <col min="8434" max="8434" width="17.28515625" customWidth="1"/>
    <col min="8435" max="8435" width="16.42578125" customWidth="1"/>
    <col min="8436" max="8436" width="9.85546875" customWidth="1"/>
    <col min="8437" max="8437" width="9.140625" customWidth="1"/>
    <col min="8438" max="8438" width="14.28515625" customWidth="1"/>
    <col min="8439" max="8439" width="8.42578125" customWidth="1"/>
    <col min="8440" max="8440" width="6.7109375" customWidth="1"/>
    <col min="8441" max="8441" width="7.42578125" customWidth="1"/>
    <col min="8449" max="8449" width="4.42578125" customWidth="1"/>
    <col min="8450" max="8450" width="7.42578125" customWidth="1"/>
    <col min="8451" max="8451" width="6.7109375" customWidth="1"/>
    <col min="8452" max="8452" width="26.42578125" customWidth="1"/>
    <col min="8453" max="8453" width="17.5703125" customWidth="1"/>
    <col min="8454" max="8454" width="13" bestFit="1" customWidth="1"/>
    <col min="8455" max="8455" width="11.28515625" customWidth="1"/>
    <col min="8456" max="8456" width="14.28515625" customWidth="1"/>
    <col min="8457" max="8457" width="12.7109375" customWidth="1"/>
    <col min="8458" max="8459" width="0" hidden="1" customWidth="1"/>
    <col min="8460" max="8460" width="8.5703125" customWidth="1"/>
    <col min="8461" max="8461" width="14.7109375" bestFit="1" customWidth="1"/>
    <col min="8462" max="8462" width="13.7109375" customWidth="1"/>
    <col min="8463" max="8463" width="16.28515625" bestFit="1" customWidth="1"/>
    <col min="8464" max="8464" width="14.85546875" customWidth="1"/>
    <col min="8465" max="8465" width="12.140625" customWidth="1"/>
    <col min="8466" max="8467" width="11.42578125" bestFit="1" customWidth="1"/>
    <col min="8468" max="8469" width="9.7109375" customWidth="1"/>
    <col min="8470" max="8470" width="15.85546875" customWidth="1"/>
    <col min="8471" max="8471" width="14.7109375" customWidth="1"/>
    <col min="8472" max="8472" width="14.85546875" customWidth="1"/>
    <col min="8473" max="8473" width="22.42578125" customWidth="1"/>
    <col min="8474" max="8474" width="2.85546875" customWidth="1"/>
    <col min="8475" max="8475" width="12.140625" bestFit="1" customWidth="1"/>
    <col min="8476" max="8687" width="9.140625" customWidth="1"/>
    <col min="8688" max="8688" width="4.42578125" customWidth="1"/>
    <col min="8689" max="8689" width="21.5703125" customWidth="1"/>
    <col min="8690" max="8690" width="17.28515625" customWidth="1"/>
    <col min="8691" max="8691" width="16.42578125" customWidth="1"/>
    <col min="8692" max="8692" width="9.85546875" customWidth="1"/>
    <col min="8693" max="8693" width="9.140625" customWidth="1"/>
    <col min="8694" max="8694" width="14.28515625" customWidth="1"/>
    <col min="8695" max="8695" width="8.42578125" customWidth="1"/>
    <col min="8696" max="8696" width="6.7109375" customWidth="1"/>
    <col min="8697" max="8697" width="7.42578125" customWidth="1"/>
    <col min="8705" max="8705" width="4.42578125" customWidth="1"/>
    <col min="8706" max="8706" width="7.42578125" customWidth="1"/>
    <col min="8707" max="8707" width="6.7109375" customWidth="1"/>
    <col min="8708" max="8708" width="26.42578125" customWidth="1"/>
    <col min="8709" max="8709" width="17.5703125" customWidth="1"/>
    <col min="8710" max="8710" width="13" bestFit="1" customWidth="1"/>
    <col min="8711" max="8711" width="11.28515625" customWidth="1"/>
    <col min="8712" max="8712" width="14.28515625" customWidth="1"/>
    <col min="8713" max="8713" width="12.7109375" customWidth="1"/>
    <col min="8714" max="8715" width="0" hidden="1" customWidth="1"/>
    <col min="8716" max="8716" width="8.5703125" customWidth="1"/>
    <col min="8717" max="8717" width="14.7109375" bestFit="1" customWidth="1"/>
    <col min="8718" max="8718" width="13.7109375" customWidth="1"/>
    <col min="8719" max="8719" width="16.28515625" bestFit="1" customWidth="1"/>
    <col min="8720" max="8720" width="14.85546875" customWidth="1"/>
    <col min="8721" max="8721" width="12.140625" customWidth="1"/>
    <col min="8722" max="8723" width="11.42578125" bestFit="1" customWidth="1"/>
    <col min="8724" max="8725" width="9.7109375" customWidth="1"/>
    <col min="8726" max="8726" width="15.85546875" customWidth="1"/>
    <col min="8727" max="8727" width="14.7109375" customWidth="1"/>
    <col min="8728" max="8728" width="14.85546875" customWidth="1"/>
    <col min="8729" max="8729" width="22.42578125" customWidth="1"/>
    <col min="8730" max="8730" width="2.85546875" customWidth="1"/>
    <col min="8731" max="8731" width="12.140625" bestFit="1" customWidth="1"/>
    <col min="8732" max="8943" width="9.140625" customWidth="1"/>
    <col min="8944" max="8944" width="4.42578125" customWidth="1"/>
    <col min="8945" max="8945" width="21.5703125" customWidth="1"/>
    <col min="8946" max="8946" width="17.28515625" customWidth="1"/>
    <col min="8947" max="8947" width="16.42578125" customWidth="1"/>
    <col min="8948" max="8948" width="9.85546875" customWidth="1"/>
    <col min="8949" max="8949" width="9.140625" customWidth="1"/>
    <col min="8950" max="8950" width="14.28515625" customWidth="1"/>
    <col min="8951" max="8951" width="8.42578125" customWidth="1"/>
    <col min="8952" max="8952" width="6.7109375" customWidth="1"/>
    <col min="8953" max="8953" width="7.42578125" customWidth="1"/>
    <col min="8961" max="8961" width="4.42578125" customWidth="1"/>
    <col min="8962" max="8962" width="7.42578125" customWidth="1"/>
    <col min="8963" max="8963" width="6.7109375" customWidth="1"/>
    <col min="8964" max="8964" width="26.42578125" customWidth="1"/>
    <col min="8965" max="8965" width="17.5703125" customWidth="1"/>
    <col min="8966" max="8966" width="13" bestFit="1" customWidth="1"/>
    <col min="8967" max="8967" width="11.28515625" customWidth="1"/>
    <col min="8968" max="8968" width="14.28515625" customWidth="1"/>
    <col min="8969" max="8969" width="12.7109375" customWidth="1"/>
    <col min="8970" max="8971" width="0" hidden="1" customWidth="1"/>
    <col min="8972" max="8972" width="8.5703125" customWidth="1"/>
    <col min="8973" max="8973" width="14.7109375" bestFit="1" customWidth="1"/>
    <col min="8974" max="8974" width="13.7109375" customWidth="1"/>
    <col min="8975" max="8975" width="16.28515625" bestFit="1" customWidth="1"/>
    <col min="8976" max="8976" width="14.85546875" customWidth="1"/>
    <col min="8977" max="8977" width="12.140625" customWidth="1"/>
    <col min="8978" max="8979" width="11.42578125" bestFit="1" customWidth="1"/>
    <col min="8980" max="8981" width="9.7109375" customWidth="1"/>
    <col min="8982" max="8982" width="15.85546875" customWidth="1"/>
    <col min="8983" max="8983" width="14.7109375" customWidth="1"/>
    <col min="8984" max="8984" width="14.85546875" customWidth="1"/>
    <col min="8985" max="8985" width="22.42578125" customWidth="1"/>
    <col min="8986" max="8986" width="2.85546875" customWidth="1"/>
    <col min="8987" max="8987" width="12.140625" bestFit="1" customWidth="1"/>
    <col min="8988" max="9199" width="9.140625" customWidth="1"/>
    <col min="9200" max="9200" width="4.42578125" customWidth="1"/>
    <col min="9201" max="9201" width="21.5703125" customWidth="1"/>
    <col min="9202" max="9202" width="17.28515625" customWidth="1"/>
    <col min="9203" max="9203" width="16.42578125" customWidth="1"/>
    <col min="9204" max="9204" width="9.85546875" customWidth="1"/>
    <col min="9205" max="9205" width="9.140625" customWidth="1"/>
    <col min="9206" max="9206" width="14.28515625" customWidth="1"/>
    <col min="9207" max="9207" width="8.42578125" customWidth="1"/>
    <col min="9208" max="9208" width="6.7109375" customWidth="1"/>
    <col min="9209" max="9209" width="7.42578125" customWidth="1"/>
    <col min="9217" max="9217" width="4.42578125" customWidth="1"/>
    <col min="9218" max="9218" width="7.42578125" customWidth="1"/>
    <col min="9219" max="9219" width="6.7109375" customWidth="1"/>
    <col min="9220" max="9220" width="26.42578125" customWidth="1"/>
    <col min="9221" max="9221" width="17.5703125" customWidth="1"/>
    <col min="9222" max="9222" width="13" bestFit="1" customWidth="1"/>
    <col min="9223" max="9223" width="11.28515625" customWidth="1"/>
    <col min="9224" max="9224" width="14.28515625" customWidth="1"/>
    <col min="9225" max="9225" width="12.7109375" customWidth="1"/>
    <col min="9226" max="9227" width="0" hidden="1" customWidth="1"/>
    <col min="9228" max="9228" width="8.5703125" customWidth="1"/>
    <col min="9229" max="9229" width="14.7109375" bestFit="1" customWidth="1"/>
    <col min="9230" max="9230" width="13.7109375" customWidth="1"/>
    <col min="9231" max="9231" width="16.28515625" bestFit="1" customWidth="1"/>
    <col min="9232" max="9232" width="14.85546875" customWidth="1"/>
    <col min="9233" max="9233" width="12.140625" customWidth="1"/>
    <col min="9234" max="9235" width="11.42578125" bestFit="1" customWidth="1"/>
    <col min="9236" max="9237" width="9.7109375" customWidth="1"/>
    <col min="9238" max="9238" width="15.85546875" customWidth="1"/>
    <col min="9239" max="9239" width="14.7109375" customWidth="1"/>
    <col min="9240" max="9240" width="14.85546875" customWidth="1"/>
    <col min="9241" max="9241" width="22.42578125" customWidth="1"/>
    <col min="9242" max="9242" width="2.85546875" customWidth="1"/>
    <col min="9243" max="9243" width="12.140625" bestFit="1" customWidth="1"/>
    <col min="9244" max="9455" width="9.140625" customWidth="1"/>
    <col min="9456" max="9456" width="4.42578125" customWidth="1"/>
    <col min="9457" max="9457" width="21.5703125" customWidth="1"/>
    <col min="9458" max="9458" width="17.28515625" customWidth="1"/>
    <col min="9459" max="9459" width="16.42578125" customWidth="1"/>
    <col min="9460" max="9460" width="9.85546875" customWidth="1"/>
    <col min="9461" max="9461" width="9.140625" customWidth="1"/>
    <col min="9462" max="9462" width="14.28515625" customWidth="1"/>
    <col min="9463" max="9463" width="8.42578125" customWidth="1"/>
    <col min="9464" max="9464" width="6.7109375" customWidth="1"/>
    <col min="9465" max="9465" width="7.42578125" customWidth="1"/>
    <col min="9473" max="9473" width="4.42578125" customWidth="1"/>
    <col min="9474" max="9474" width="7.42578125" customWidth="1"/>
    <col min="9475" max="9475" width="6.7109375" customWidth="1"/>
    <col min="9476" max="9476" width="26.42578125" customWidth="1"/>
    <col min="9477" max="9477" width="17.5703125" customWidth="1"/>
    <col min="9478" max="9478" width="13" bestFit="1" customWidth="1"/>
    <col min="9479" max="9479" width="11.28515625" customWidth="1"/>
    <col min="9480" max="9480" width="14.28515625" customWidth="1"/>
    <col min="9481" max="9481" width="12.7109375" customWidth="1"/>
    <col min="9482" max="9483" width="0" hidden="1" customWidth="1"/>
    <col min="9484" max="9484" width="8.5703125" customWidth="1"/>
    <col min="9485" max="9485" width="14.7109375" bestFit="1" customWidth="1"/>
    <col min="9486" max="9486" width="13.7109375" customWidth="1"/>
    <col min="9487" max="9487" width="16.28515625" bestFit="1" customWidth="1"/>
    <col min="9488" max="9488" width="14.85546875" customWidth="1"/>
    <col min="9489" max="9489" width="12.140625" customWidth="1"/>
    <col min="9490" max="9491" width="11.42578125" bestFit="1" customWidth="1"/>
    <col min="9492" max="9493" width="9.7109375" customWidth="1"/>
    <col min="9494" max="9494" width="15.85546875" customWidth="1"/>
    <col min="9495" max="9495" width="14.7109375" customWidth="1"/>
    <col min="9496" max="9496" width="14.85546875" customWidth="1"/>
    <col min="9497" max="9497" width="22.42578125" customWidth="1"/>
    <col min="9498" max="9498" width="2.85546875" customWidth="1"/>
    <col min="9499" max="9499" width="12.140625" bestFit="1" customWidth="1"/>
    <col min="9500" max="9711" width="9.140625" customWidth="1"/>
    <col min="9712" max="9712" width="4.42578125" customWidth="1"/>
    <col min="9713" max="9713" width="21.5703125" customWidth="1"/>
    <col min="9714" max="9714" width="17.28515625" customWidth="1"/>
    <col min="9715" max="9715" width="16.42578125" customWidth="1"/>
    <col min="9716" max="9716" width="9.85546875" customWidth="1"/>
    <col min="9717" max="9717" width="9.140625" customWidth="1"/>
    <col min="9718" max="9718" width="14.28515625" customWidth="1"/>
    <col min="9719" max="9719" width="8.42578125" customWidth="1"/>
    <col min="9720" max="9720" width="6.7109375" customWidth="1"/>
    <col min="9721" max="9721" width="7.42578125" customWidth="1"/>
    <col min="9729" max="9729" width="4.42578125" customWidth="1"/>
    <col min="9730" max="9730" width="7.42578125" customWidth="1"/>
    <col min="9731" max="9731" width="6.7109375" customWidth="1"/>
    <col min="9732" max="9732" width="26.42578125" customWidth="1"/>
    <col min="9733" max="9733" width="17.5703125" customWidth="1"/>
    <col min="9734" max="9734" width="13" bestFit="1" customWidth="1"/>
    <col min="9735" max="9735" width="11.28515625" customWidth="1"/>
    <col min="9736" max="9736" width="14.28515625" customWidth="1"/>
    <col min="9737" max="9737" width="12.7109375" customWidth="1"/>
    <col min="9738" max="9739" width="0" hidden="1" customWidth="1"/>
    <col min="9740" max="9740" width="8.5703125" customWidth="1"/>
    <col min="9741" max="9741" width="14.7109375" bestFit="1" customWidth="1"/>
    <col min="9742" max="9742" width="13.7109375" customWidth="1"/>
    <col min="9743" max="9743" width="16.28515625" bestFit="1" customWidth="1"/>
    <col min="9744" max="9744" width="14.85546875" customWidth="1"/>
    <col min="9745" max="9745" width="12.140625" customWidth="1"/>
    <col min="9746" max="9747" width="11.42578125" bestFit="1" customWidth="1"/>
    <col min="9748" max="9749" width="9.7109375" customWidth="1"/>
    <col min="9750" max="9750" width="15.85546875" customWidth="1"/>
    <col min="9751" max="9751" width="14.7109375" customWidth="1"/>
    <col min="9752" max="9752" width="14.85546875" customWidth="1"/>
    <col min="9753" max="9753" width="22.42578125" customWidth="1"/>
    <col min="9754" max="9754" width="2.85546875" customWidth="1"/>
    <col min="9755" max="9755" width="12.140625" bestFit="1" customWidth="1"/>
    <col min="9756" max="9967" width="9.140625" customWidth="1"/>
    <col min="9968" max="9968" width="4.42578125" customWidth="1"/>
    <col min="9969" max="9969" width="21.5703125" customWidth="1"/>
    <col min="9970" max="9970" width="17.28515625" customWidth="1"/>
    <col min="9971" max="9971" width="16.42578125" customWidth="1"/>
    <col min="9972" max="9972" width="9.85546875" customWidth="1"/>
    <col min="9973" max="9973" width="9.140625" customWidth="1"/>
    <col min="9974" max="9974" width="14.28515625" customWidth="1"/>
    <col min="9975" max="9975" width="8.42578125" customWidth="1"/>
    <col min="9976" max="9976" width="6.7109375" customWidth="1"/>
    <col min="9977" max="9977" width="7.42578125" customWidth="1"/>
    <col min="9985" max="9985" width="4.42578125" customWidth="1"/>
    <col min="9986" max="9986" width="7.42578125" customWidth="1"/>
    <col min="9987" max="9987" width="6.7109375" customWidth="1"/>
    <col min="9988" max="9988" width="26.42578125" customWidth="1"/>
    <col min="9989" max="9989" width="17.5703125" customWidth="1"/>
    <col min="9990" max="9990" width="13" bestFit="1" customWidth="1"/>
    <col min="9991" max="9991" width="11.28515625" customWidth="1"/>
    <col min="9992" max="9992" width="14.28515625" customWidth="1"/>
    <col min="9993" max="9993" width="12.7109375" customWidth="1"/>
    <col min="9994" max="9995" width="0" hidden="1" customWidth="1"/>
    <col min="9996" max="9996" width="8.5703125" customWidth="1"/>
    <col min="9997" max="9997" width="14.7109375" bestFit="1" customWidth="1"/>
    <col min="9998" max="9998" width="13.7109375" customWidth="1"/>
    <col min="9999" max="9999" width="16.28515625" bestFit="1" customWidth="1"/>
    <col min="10000" max="10000" width="14.85546875" customWidth="1"/>
    <col min="10001" max="10001" width="12.140625" customWidth="1"/>
    <col min="10002" max="10003" width="11.42578125" bestFit="1" customWidth="1"/>
    <col min="10004" max="10005" width="9.7109375" customWidth="1"/>
    <col min="10006" max="10006" width="15.85546875" customWidth="1"/>
    <col min="10007" max="10007" width="14.7109375" customWidth="1"/>
    <col min="10008" max="10008" width="14.85546875" customWidth="1"/>
    <col min="10009" max="10009" width="22.42578125" customWidth="1"/>
    <col min="10010" max="10010" width="2.85546875" customWidth="1"/>
    <col min="10011" max="10011" width="12.140625" bestFit="1" customWidth="1"/>
    <col min="10012" max="10223" width="9.140625" customWidth="1"/>
    <col min="10224" max="10224" width="4.42578125" customWidth="1"/>
    <col min="10225" max="10225" width="21.5703125" customWidth="1"/>
    <col min="10226" max="10226" width="17.28515625" customWidth="1"/>
    <col min="10227" max="10227" width="16.42578125" customWidth="1"/>
    <col min="10228" max="10228" width="9.85546875" customWidth="1"/>
    <col min="10229" max="10229" width="9.140625" customWidth="1"/>
    <col min="10230" max="10230" width="14.28515625" customWidth="1"/>
    <col min="10231" max="10231" width="8.42578125" customWidth="1"/>
    <col min="10232" max="10232" width="6.7109375" customWidth="1"/>
    <col min="10233" max="10233" width="7.42578125" customWidth="1"/>
    <col min="10241" max="10241" width="4.42578125" customWidth="1"/>
    <col min="10242" max="10242" width="7.42578125" customWidth="1"/>
    <col min="10243" max="10243" width="6.7109375" customWidth="1"/>
    <col min="10244" max="10244" width="26.42578125" customWidth="1"/>
    <col min="10245" max="10245" width="17.5703125" customWidth="1"/>
    <col min="10246" max="10246" width="13" bestFit="1" customWidth="1"/>
    <col min="10247" max="10247" width="11.28515625" customWidth="1"/>
    <col min="10248" max="10248" width="14.28515625" customWidth="1"/>
    <col min="10249" max="10249" width="12.7109375" customWidth="1"/>
    <col min="10250" max="10251" width="0" hidden="1" customWidth="1"/>
    <col min="10252" max="10252" width="8.5703125" customWidth="1"/>
    <col min="10253" max="10253" width="14.7109375" bestFit="1" customWidth="1"/>
    <col min="10254" max="10254" width="13.7109375" customWidth="1"/>
    <col min="10255" max="10255" width="16.28515625" bestFit="1" customWidth="1"/>
    <col min="10256" max="10256" width="14.85546875" customWidth="1"/>
    <col min="10257" max="10257" width="12.140625" customWidth="1"/>
    <col min="10258" max="10259" width="11.42578125" bestFit="1" customWidth="1"/>
    <col min="10260" max="10261" width="9.7109375" customWidth="1"/>
    <col min="10262" max="10262" width="15.85546875" customWidth="1"/>
    <col min="10263" max="10263" width="14.7109375" customWidth="1"/>
    <col min="10264" max="10264" width="14.85546875" customWidth="1"/>
    <col min="10265" max="10265" width="22.42578125" customWidth="1"/>
    <col min="10266" max="10266" width="2.85546875" customWidth="1"/>
    <col min="10267" max="10267" width="12.140625" bestFit="1" customWidth="1"/>
    <col min="10268" max="10479" width="9.140625" customWidth="1"/>
    <col min="10480" max="10480" width="4.42578125" customWidth="1"/>
    <col min="10481" max="10481" width="21.5703125" customWidth="1"/>
    <col min="10482" max="10482" width="17.28515625" customWidth="1"/>
    <col min="10483" max="10483" width="16.42578125" customWidth="1"/>
    <col min="10484" max="10484" width="9.85546875" customWidth="1"/>
    <col min="10485" max="10485" width="9.140625" customWidth="1"/>
    <col min="10486" max="10486" width="14.28515625" customWidth="1"/>
    <col min="10487" max="10487" width="8.42578125" customWidth="1"/>
    <col min="10488" max="10488" width="6.7109375" customWidth="1"/>
    <col min="10489" max="10489" width="7.42578125" customWidth="1"/>
    <col min="10497" max="10497" width="4.42578125" customWidth="1"/>
    <col min="10498" max="10498" width="7.42578125" customWidth="1"/>
    <col min="10499" max="10499" width="6.7109375" customWidth="1"/>
    <col min="10500" max="10500" width="26.42578125" customWidth="1"/>
    <col min="10501" max="10501" width="17.5703125" customWidth="1"/>
    <col min="10502" max="10502" width="13" bestFit="1" customWidth="1"/>
    <col min="10503" max="10503" width="11.28515625" customWidth="1"/>
    <col min="10504" max="10504" width="14.28515625" customWidth="1"/>
    <col min="10505" max="10505" width="12.7109375" customWidth="1"/>
    <col min="10506" max="10507" width="0" hidden="1" customWidth="1"/>
    <col min="10508" max="10508" width="8.5703125" customWidth="1"/>
    <col min="10509" max="10509" width="14.7109375" bestFit="1" customWidth="1"/>
    <col min="10510" max="10510" width="13.7109375" customWidth="1"/>
    <col min="10511" max="10511" width="16.28515625" bestFit="1" customWidth="1"/>
    <col min="10512" max="10512" width="14.85546875" customWidth="1"/>
    <col min="10513" max="10513" width="12.140625" customWidth="1"/>
    <col min="10514" max="10515" width="11.42578125" bestFit="1" customWidth="1"/>
    <col min="10516" max="10517" width="9.7109375" customWidth="1"/>
    <col min="10518" max="10518" width="15.85546875" customWidth="1"/>
    <col min="10519" max="10519" width="14.7109375" customWidth="1"/>
    <col min="10520" max="10520" width="14.85546875" customWidth="1"/>
    <col min="10521" max="10521" width="22.42578125" customWidth="1"/>
    <col min="10522" max="10522" width="2.85546875" customWidth="1"/>
    <col min="10523" max="10523" width="12.140625" bestFit="1" customWidth="1"/>
    <col min="10524" max="10735" width="9.140625" customWidth="1"/>
    <col min="10736" max="10736" width="4.42578125" customWidth="1"/>
    <col min="10737" max="10737" width="21.5703125" customWidth="1"/>
    <col min="10738" max="10738" width="17.28515625" customWidth="1"/>
    <col min="10739" max="10739" width="16.42578125" customWidth="1"/>
    <col min="10740" max="10740" width="9.85546875" customWidth="1"/>
    <col min="10741" max="10741" width="9.140625" customWidth="1"/>
    <col min="10742" max="10742" width="14.28515625" customWidth="1"/>
    <col min="10743" max="10743" width="8.42578125" customWidth="1"/>
    <col min="10744" max="10744" width="6.7109375" customWidth="1"/>
    <col min="10745" max="10745" width="7.42578125" customWidth="1"/>
    <col min="10753" max="10753" width="4.42578125" customWidth="1"/>
    <col min="10754" max="10754" width="7.42578125" customWidth="1"/>
    <col min="10755" max="10755" width="6.7109375" customWidth="1"/>
    <col min="10756" max="10756" width="26.42578125" customWidth="1"/>
    <col min="10757" max="10757" width="17.5703125" customWidth="1"/>
    <col min="10758" max="10758" width="13" bestFit="1" customWidth="1"/>
    <col min="10759" max="10759" width="11.28515625" customWidth="1"/>
    <col min="10760" max="10760" width="14.28515625" customWidth="1"/>
    <col min="10761" max="10761" width="12.7109375" customWidth="1"/>
    <col min="10762" max="10763" width="0" hidden="1" customWidth="1"/>
    <col min="10764" max="10764" width="8.5703125" customWidth="1"/>
    <col min="10765" max="10765" width="14.7109375" bestFit="1" customWidth="1"/>
    <col min="10766" max="10766" width="13.7109375" customWidth="1"/>
    <col min="10767" max="10767" width="16.28515625" bestFit="1" customWidth="1"/>
    <col min="10768" max="10768" width="14.85546875" customWidth="1"/>
    <col min="10769" max="10769" width="12.140625" customWidth="1"/>
    <col min="10770" max="10771" width="11.42578125" bestFit="1" customWidth="1"/>
    <col min="10772" max="10773" width="9.7109375" customWidth="1"/>
    <col min="10774" max="10774" width="15.85546875" customWidth="1"/>
    <col min="10775" max="10775" width="14.7109375" customWidth="1"/>
    <col min="10776" max="10776" width="14.85546875" customWidth="1"/>
    <col min="10777" max="10777" width="22.42578125" customWidth="1"/>
    <col min="10778" max="10778" width="2.85546875" customWidth="1"/>
    <col min="10779" max="10779" width="12.140625" bestFit="1" customWidth="1"/>
    <col min="10780" max="10991" width="9.140625" customWidth="1"/>
    <col min="10992" max="10992" width="4.42578125" customWidth="1"/>
    <col min="10993" max="10993" width="21.5703125" customWidth="1"/>
    <col min="10994" max="10994" width="17.28515625" customWidth="1"/>
    <col min="10995" max="10995" width="16.42578125" customWidth="1"/>
    <col min="10996" max="10996" width="9.85546875" customWidth="1"/>
    <col min="10997" max="10997" width="9.140625" customWidth="1"/>
    <col min="10998" max="10998" width="14.28515625" customWidth="1"/>
    <col min="10999" max="10999" width="8.42578125" customWidth="1"/>
    <col min="11000" max="11000" width="6.7109375" customWidth="1"/>
    <col min="11001" max="11001" width="7.42578125" customWidth="1"/>
    <col min="11009" max="11009" width="4.42578125" customWidth="1"/>
    <col min="11010" max="11010" width="7.42578125" customWidth="1"/>
    <col min="11011" max="11011" width="6.7109375" customWidth="1"/>
    <col min="11012" max="11012" width="26.42578125" customWidth="1"/>
    <col min="11013" max="11013" width="17.5703125" customWidth="1"/>
    <col min="11014" max="11014" width="13" bestFit="1" customWidth="1"/>
    <col min="11015" max="11015" width="11.28515625" customWidth="1"/>
    <col min="11016" max="11016" width="14.28515625" customWidth="1"/>
    <col min="11017" max="11017" width="12.7109375" customWidth="1"/>
    <col min="11018" max="11019" width="0" hidden="1" customWidth="1"/>
    <col min="11020" max="11020" width="8.5703125" customWidth="1"/>
    <col min="11021" max="11021" width="14.7109375" bestFit="1" customWidth="1"/>
    <col min="11022" max="11022" width="13.7109375" customWidth="1"/>
    <col min="11023" max="11023" width="16.28515625" bestFit="1" customWidth="1"/>
    <col min="11024" max="11024" width="14.85546875" customWidth="1"/>
    <col min="11025" max="11025" width="12.140625" customWidth="1"/>
    <col min="11026" max="11027" width="11.42578125" bestFit="1" customWidth="1"/>
    <col min="11028" max="11029" width="9.7109375" customWidth="1"/>
    <col min="11030" max="11030" width="15.85546875" customWidth="1"/>
    <col min="11031" max="11031" width="14.7109375" customWidth="1"/>
    <col min="11032" max="11032" width="14.85546875" customWidth="1"/>
    <col min="11033" max="11033" width="22.42578125" customWidth="1"/>
    <col min="11034" max="11034" width="2.85546875" customWidth="1"/>
    <col min="11035" max="11035" width="12.140625" bestFit="1" customWidth="1"/>
    <col min="11036" max="11247" width="9.140625" customWidth="1"/>
    <col min="11248" max="11248" width="4.42578125" customWidth="1"/>
    <col min="11249" max="11249" width="21.5703125" customWidth="1"/>
    <col min="11250" max="11250" width="17.28515625" customWidth="1"/>
    <col min="11251" max="11251" width="16.42578125" customWidth="1"/>
    <col min="11252" max="11252" width="9.85546875" customWidth="1"/>
    <col min="11253" max="11253" width="9.140625" customWidth="1"/>
    <col min="11254" max="11254" width="14.28515625" customWidth="1"/>
    <col min="11255" max="11255" width="8.42578125" customWidth="1"/>
    <col min="11256" max="11256" width="6.7109375" customWidth="1"/>
    <col min="11257" max="11257" width="7.42578125" customWidth="1"/>
    <col min="11265" max="11265" width="4.42578125" customWidth="1"/>
    <col min="11266" max="11266" width="7.42578125" customWidth="1"/>
    <col min="11267" max="11267" width="6.7109375" customWidth="1"/>
    <col min="11268" max="11268" width="26.42578125" customWidth="1"/>
    <col min="11269" max="11269" width="17.5703125" customWidth="1"/>
    <col min="11270" max="11270" width="13" bestFit="1" customWidth="1"/>
    <col min="11271" max="11271" width="11.28515625" customWidth="1"/>
    <col min="11272" max="11272" width="14.28515625" customWidth="1"/>
    <col min="11273" max="11273" width="12.7109375" customWidth="1"/>
    <col min="11274" max="11275" width="0" hidden="1" customWidth="1"/>
    <col min="11276" max="11276" width="8.5703125" customWidth="1"/>
    <col min="11277" max="11277" width="14.7109375" bestFit="1" customWidth="1"/>
    <col min="11278" max="11278" width="13.7109375" customWidth="1"/>
    <col min="11279" max="11279" width="16.28515625" bestFit="1" customWidth="1"/>
    <col min="11280" max="11280" width="14.85546875" customWidth="1"/>
    <col min="11281" max="11281" width="12.140625" customWidth="1"/>
    <col min="11282" max="11283" width="11.42578125" bestFit="1" customWidth="1"/>
    <col min="11284" max="11285" width="9.7109375" customWidth="1"/>
    <col min="11286" max="11286" width="15.85546875" customWidth="1"/>
    <col min="11287" max="11287" width="14.7109375" customWidth="1"/>
    <col min="11288" max="11288" width="14.85546875" customWidth="1"/>
    <col min="11289" max="11289" width="22.42578125" customWidth="1"/>
    <col min="11290" max="11290" width="2.85546875" customWidth="1"/>
    <col min="11291" max="11291" width="12.140625" bestFit="1" customWidth="1"/>
    <col min="11292" max="11503" width="9.140625" customWidth="1"/>
    <col min="11504" max="11504" width="4.42578125" customWidth="1"/>
    <col min="11505" max="11505" width="21.5703125" customWidth="1"/>
    <col min="11506" max="11506" width="17.28515625" customWidth="1"/>
    <col min="11507" max="11507" width="16.42578125" customWidth="1"/>
    <col min="11508" max="11508" width="9.85546875" customWidth="1"/>
    <col min="11509" max="11509" width="9.140625" customWidth="1"/>
    <col min="11510" max="11510" width="14.28515625" customWidth="1"/>
    <col min="11511" max="11511" width="8.42578125" customWidth="1"/>
    <col min="11512" max="11512" width="6.7109375" customWidth="1"/>
    <col min="11513" max="11513" width="7.42578125" customWidth="1"/>
    <col min="11521" max="11521" width="4.42578125" customWidth="1"/>
    <col min="11522" max="11522" width="7.42578125" customWidth="1"/>
    <col min="11523" max="11523" width="6.7109375" customWidth="1"/>
    <col min="11524" max="11524" width="26.42578125" customWidth="1"/>
    <col min="11525" max="11525" width="17.5703125" customWidth="1"/>
    <col min="11526" max="11526" width="13" bestFit="1" customWidth="1"/>
    <col min="11527" max="11527" width="11.28515625" customWidth="1"/>
    <col min="11528" max="11528" width="14.28515625" customWidth="1"/>
    <col min="11529" max="11529" width="12.7109375" customWidth="1"/>
    <col min="11530" max="11531" width="0" hidden="1" customWidth="1"/>
    <col min="11532" max="11532" width="8.5703125" customWidth="1"/>
    <col min="11533" max="11533" width="14.7109375" bestFit="1" customWidth="1"/>
    <col min="11534" max="11534" width="13.7109375" customWidth="1"/>
    <col min="11535" max="11535" width="16.28515625" bestFit="1" customWidth="1"/>
    <col min="11536" max="11536" width="14.85546875" customWidth="1"/>
    <col min="11537" max="11537" width="12.140625" customWidth="1"/>
    <col min="11538" max="11539" width="11.42578125" bestFit="1" customWidth="1"/>
    <col min="11540" max="11541" width="9.7109375" customWidth="1"/>
    <col min="11542" max="11542" width="15.85546875" customWidth="1"/>
    <col min="11543" max="11543" width="14.7109375" customWidth="1"/>
    <col min="11544" max="11544" width="14.85546875" customWidth="1"/>
    <col min="11545" max="11545" width="22.42578125" customWidth="1"/>
    <col min="11546" max="11546" width="2.85546875" customWidth="1"/>
    <col min="11547" max="11547" width="12.140625" bestFit="1" customWidth="1"/>
    <col min="11548" max="11759" width="9.140625" customWidth="1"/>
    <col min="11760" max="11760" width="4.42578125" customWidth="1"/>
    <col min="11761" max="11761" width="21.5703125" customWidth="1"/>
    <col min="11762" max="11762" width="17.28515625" customWidth="1"/>
    <col min="11763" max="11763" width="16.42578125" customWidth="1"/>
    <col min="11764" max="11764" width="9.85546875" customWidth="1"/>
    <col min="11765" max="11765" width="9.140625" customWidth="1"/>
    <col min="11766" max="11766" width="14.28515625" customWidth="1"/>
    <col min="11767" max="11767" width="8.42578125" customWidth="1"/>
    <col min="11768" max="11768" width="6.7109375" customWidth="1"/>
    <col min="11769" max="11769" width="7.42578125" customWidth="1"/>
    <col min="11777" max="11777" width="4.42578125" customWidth="1"/>
    <col min="11778" max="11778" width="7.42578125" customWidth="1"/>
    <col min="11779" max="11779" width="6.7109375" customWidth="1"/>
    <col min="11780" max="11780" width="26.42578125" customWidth="1"/>
    <col min="11781" max="11781" width="17.5703125" customWidth="1"/>
    <col min="11782" max="11782" width="13" bestFit="1" customWidth="1"/>
    <col min="11783" max="11783" width="11.28515625" customWidth="1"/>
    <col min="11784" max="11784" width="14.28515625" customWidth="1"/>
    <col min="11785" max="11785" width="12.7109375" customWidth="1"/>
    <col min="11786" max="11787" width="0" hidden="1" customWidth="1"/>
    <col min="11788" max="11788" width="8.5703125" customWidth="1"/>
    <col min="11789" max="11789" width="14.7109375" bestFit="1" customWidth="1"/>
    <col min="11790" max="11790" width="13.7109375" customWidth="1"/>
    <col min="11791" max="11791" width="16.28515625" bestFit="1" customWidth="1"/>
    <col min="11792" max="11792" width="14.85546875" customWidth="1"/>
    <col min="11793" max="11793" width="12.140625" customWidth="1"/>
    <col min="11794" max="11795" width="11.42578125" bestFit="1" customWidth="1"/>
    <col min="11796" max="11797" width="9.7109375" customWidth="1"/>
    <col min="11798" max="11798" width="15.85546875" customWidth="1"/>
    <col min="11799" max="11799" width="14.7109375" customWidth="1"/>
    <col min="11800" max="11800" width="14.85546875" customWidth="1"/>
    <col min="11801" max="11801" width="22.42578125" customWidth="1"/>
    <col min="11802" max="11802" width="2.85546875" customWidth="1"/>
    <col min="11803" max="11803" width="12.140625" bestFit="1" customWidth="1"/>
    <col min="11804" max="12015" width="9.140625" customWidth="1"/>
    <col min="12016" max="12016" width="4.42578125" customWidth="1"/>
    <col min="12017" max="12017" width="21.5703125" customWidth="1"/>
    <col min="12018" max="12018" width="17.28515625" customWidth="1"/>
    <col min="12019" max="12019" width="16.42578125" customWidth="1"/>
    <col min="12020" max="12020" width="9.85546875" customWidth="1"/>
    <col min="12021" max="12021" width="9.140625" customWidth="1"/>
    <col min="12022" max="12022" width="14.28515625" customWidth="1"/>
    <col min="12023" max="12023" width="8.42578125" customWidth="1"/>
    <col min="12024" max="12024" width="6.7109375" customWidth="1"/>
    <col min="12025" max="12025" width="7.42578125" customWidth="1"/>
    <col min="12033" max="12033" width="4.42578125" customWidth="1"/>
    <col min="12034" max="12034" width="7.42578125" customWidth="1"/>
    <col min="12035" max="12035" width="6.7109375" customWidth="1"/>
    <col min="12036" max="12036" width="26.42578125" customWidth="1"/>
    <col min="12037" max="12037" width="17.5703125" customWidth="1"/>
    <col min="12038" max="12038" width="13" bestFit="1" customWidth="1"/>
    <col min="12039" max="12039" width="11.28515625" customWidth="1"/>
    <col min="12040" max="12040" width="14.28515625" customWidth="1"/>
    <col min="12041" max="12041" width="12.7109375" customWidth="1"/>
    <col min="12042" max="12043" width="0" hidden="1" customWidth="1"/>
    <col min="12044" max="12044" width="8.5703125" customWidth="1"/>
    <col min="12045" max="12045" width="14.7109375" bestFit="1" customWidth="1"/>
    <col min="12046" max="12046" width="13.7109375" customWidth="1"/>
    <col min="12047" max="12047" width="16.28515625" bestFit="1" customWidth="1"/>
    <col min="12048" max="12048" width="14.85546875" customWidth="1"/>
    <col min="12049" max="12049" width="12.140625" customWidth="1"/>
    <col min="12050" max="12051" width="11.42578125" bestFit="1" customWidth="1"/>
    <col min="12052" max="12053" width="9.7109375" customWidth="1"/>
    <col min="12054" max="12054" width="15.85546875" customWidth="1"/>
    <col min="12055" max="12055" width="14.7109375" customWidth="1"/>
    <col min="12056" max="12056" width="14.85546875" customWidth="1"/>
    <col min="12057" max="12057" width="22.42578125" customWidth="1"/>
    <col min="12058" max="12058" width="2.85546875" customWidth="1"/>
    <col min="12059" max="12059" width="12.140625" bestFit="1" customWidth="1"/>
    <col min="12060" max="12271" width="9.140625" customWidth="1"/>
    <col min="12272" max="12272" width="4.42578125" customWidth="1"/>
    <col min="12273" max="12273" width="21.5703125" customWidth="1"/>
    <col min="12274" max="12274" width="17.28515625" customWidth="1"/>
    <col min="12275" max="12275" width="16.42578125" customWidth="1"/>
    <col min="12276" max="12276" width="9.85546875" customWidth="1"/>
    <col min="12277" max="12277" width="9.140625" customWidth="1"/>
    <col min="12278" max="12278" width="14.28515625" customWidth="1"/>
    <col min="12279" max="12279" width="8.42578125" customWidth="1"/>
    <col min="12280" max="12280" width="6.7109375" customWidth="1"/>
    <col min="12281" max="12281" width="7.42578125" customWidth="1"/>
    <col min="12289" max="12289" width="4.42578125" customWidth="1"/>
    <col min="12290" max="12290" width="7.42578125" customWidth="1"/>
    <col min="12291" max="12291" width="6.7109375" customWidth="1"/>
    <col min="12292" max="12292" width="26.42578125" customWidth="1"/>
    <col min="12293" max="12293" width="17.5703125" customWidth="1"/>
    <col min="12294" max="12294" width="13" bestFit="1" customWidth="1"/>
    <col min="12295" max="12295" width="11.28515625" customWidth="1"/>
    <col min="12296" max="12296" width="14.28515625" customWidth="1"/>
    <col min="12297" max="12297" width="12.7109375" customWidth="1"/>
    <col min="12298" max="12299" width="0" hidden="1" customWidth="1"/>
    <col min="12300" max="12300" width="8.5703125" customWidth="1"/>
    <col min="12301" max="12301" width="14.7109375" bestFit="1" customWidth="1"/>
    <col min="12302" max="12302" width="13.7109375" customWidth="1"/>
    <col min="12303" max="12303" width="16.28515625" bestFit="1" customWidth="1"/>
    <col min="12304" max="12304" width="14.85546875" customWidth="1"/>
    <col min="12305" max="12305" width="12.140625" customWidth="1"/>
    <col min="12306" max="12307" width="11.42578125" bestFit="1" customWidth="1"/>
    <col min="12308" max="12309" width="9.7109375" customWidth="1"/>
    <col min="12310" max="12310" width="15.85546875" customWidth="1"/>
    <col min="12311" max="12311" width="14.7109375" customWidth="1"/>
    <col min="12312" max="12312" width="14.85546875" customWidth="1"/>
    <col min="12313" max="12313" width="22.42578125" customWidth="1"/>
    <col min="12314" max="12314" width="2.85546875" customWidth="1"/>
    <col min="12315" max="12315" width="12.140625" bestFit="1" customWidth="1"/>
    <col min="12316" max="12527" width="9.140625" customWidth="1"/>
    <col min="12528" max="12528" width="4.42578125" customWidth="1"/>
    <col min="12529" max="12529" width="21.5703125" customWidth="1"/>
    <col min="12530" max="12530" width="17.28515625" customWidth="1"/>
    <col min="12531" max="12531" width="16.42578125" customWidth="1"/>
    <col min="12532" max="12532" width="9.85546875" customWidth="1"/>
    <col min="12533" max="12533" width="9.140625" customWidth="1"/>
    <col min="12534" max="12534" width="14.28515625" customWidth="1"/>
    <col min="12535" max="12535" width="8.42578125" customWidth="1"/>
    <col min="12536" max="12536" width="6.7109375" customWidth="1"/>
    <col min="12537" max="12537" width="7.42578125" customWidth="1"/>
    <col min="12545" max="12545" width="4.42578125" customWidth="1"/>
    <col min="12546" max="12546" width="7.42578125" customWidth="1"/>
    <col min="12547" max="12547" width="6.7109375" customWidth="1"/>
    <col min="12548" max="12548" width="26.42578125" customWidth="1"/>
    <col min="12549" max="12549" width="17.5703125" customWidth="1"/>
    <col min="12550" max="12550" width="13" bestFit="1" customWidth="1"/>
    <col min="12551" max="12551" width="11.28515625" customWidth="1"/>
    <col min="12552" max="12552" width="14.28515625" customWidth="1"/>
    <col min="12553" max="12553" width="12.7109375" customWidth="1"/>
    <col min="12554" max="12555" width="0" hidden="1" customWidth="1"/>
    <col min="12556" max="12556" width="8.5703125" customWidth="1"/>
    <col min="12557" max="12557" width="14.7109375" bestFit="1" customWidth="1"/>
    <col min="12558" max="12558" width="13.7109375" customWidth="1"/>
    <col min="12559" max="12559" width="16.28515625" bestFit="1" customWidth="1"/>
    <col min="12560" max="12560" width="14.85546875" customWidth="1"/>
    <col min="12561" max="12561" width="12.140625" customWidth="1"/>
    <col min="12562" max="12563" width="11.42578125" bestFit="1" customWidth="1"/>
    <col min="12564" max="12565" width="9.7109375" customWidth="1"/>
    <col min="12566" max="12566" width="15.85546875" customWidth="1"/>
    <col min="12567" max="12567" width="14.7109375" customWidth="1"/>
    <col min="12568" max="12568" width="14.85546875" customWidth="1"/>
    <col min="12569" max="12569" width="22.42578125" customWidth="1"/>
    <col min="12570" max="12570" width="2.85546875" customWidth="1"/>
    <col min="12571" max="12571" width="12.140625" bestFit="1" customWidth="1"/>
    <col min="12572" max="12783" width="9.140625" customWidth="1"/>
    <col min="12784" max="12784" width="4.42578125" customWidth="1"/>
    <col min="12785" max="12785" width="21.5703125" customWidth="1"/>
    <col min="12786" max="12786" width="17.28515625" customWidth="1"/>
    <col min="12787" max="12787" width="16.42578125" customWidth="1"/>
    <col min="12788" max="12788" width="9.85546875" customWidth="1"/>
    <col min="12789" max="12789" width="9.140625" customWidth="1"/>
    <col min="12790" max="12790" width="14.28515625" customWidth="1"/>
    <col min="12791" max="12791" width="8.42578125" customWidth="1"/>
    <col min="12792" max="12792" width="6.7109375" customWidth="1"/>
    <col min="12793" max="12793" width="7.42578125" customWidth="1"/>
    <col min="12801" max="12801" width="4.42578125" customWidth="1"/>
    <col min="12802" max="12802" width="7.42578125" customWidth="1"/>
    <col min="12803" max="12803" width="6.7109375" customWidth="1"/>
    <col min="12804" max="12804" width="26.42578125" customWidth="1"/>
    <col min="12805" max="12805" width="17.5703125" customWidth="1"/>
    <col min="12806" max="12806" width="13" bestFit="1" customWidth="1"/>
    <col min="12807" max="12807" width="11.28515625" customWidth="1"/>
    <col min="12808" max="12808" width="14.28515625" customWidth="1"/>
    <col min="12809" max="12809" width="12.7109375" customWidth="1"/>
    <col min="12810" max="12811" width="0" hidden="1" customWidth="1"/>
    <col min="12812" max="12812" width="8.5703125" customWidth="1"/>
    <col min="12813" max="12813" width="14.7109375" bestFit="1" customWidth="1"/>
    <col min="12814" max="12814" width="13.7109375" customWidth="1"/>
    <col min="12815" max="12815" width="16.28515625" bestFit="1" customWidth="1"/>
    <col min="12816" max="12816" width="14.85546875" customWidth="1"/>
    <col min="12817" max="12817" width="12.140625" customWidth="1"/>
    <col min="12818" max="12819" width="11.42578125" bestFit="1" customWidth="1"/>
    <col min="12820" max="12821" width="9.7109375" customWidth="1"/>
    <col min="12822" max="12822" width="15.85546875" customWidth="1"/>
    <col min="12823" max="12823" width="14.7109375" customWidth="1"/>
    <col min="12824" max="12824" width="14.85546875" customWidth="1"/>
    <col min="12825" max="12825" width="22.42578125" customWidth="1"/>
    <col min="12826" max="12826" width="2.85546875" customWidth="1"/>
    <col min="12827" max="12827" width="12.140625" bestFit="1" customWidth="1"/>
    <col min="12828" max="13039" width="9.140625" customWidth="1"/>
    <col min="13040" max="13040" width="4.42578125" customWidth="1"/>
    <col min="13041" max="13041" width="21.5703125" customWidth="1"/>
    <col min="13042" max="13042" width="17.28515625" customWidth="1"/>
    <col min="13043" max="13043" width="16.42578125" customWidth="1"/>
    <col min="13044" max="13044" width="9.85546875" customWidth="1"/>
    <col min="13045" max="13045" width="9.140625" customWidth="1"/>
    <col min="13046" max="13046" width="14.28515625" customWidth="1"/>
    <col min="13047" max="13047" width="8.42578125" customWidth="1"/>
    <col min="13048" max="13048" width="6.7109375" customWidth="1"/>
    <col min="13049" max="13049" width="7.42578125" customWidth="1"/>
    <col min="13057" max="13057" width="4.42578125" customWidth="1"/>
    <col min="13058" max="13058" width="7.42578125" customWidth="1"/>
    <col min="13059" max="13059" width="6.7109375" customWidth="1"/>
    <col min="13060" max="13060" width="26.42578125" customWidth="1"/>
    <col min="13061" max="13061" width="17.5703125" customWidth="1"/>
    <col min="13062" max="13062" width="13" bestFit="1" customWidth="1"/>
    <col min="13063" max="13063" width="11.28515625" customWidth="1"/>
    <col min="13064" max="13064" width="14.28515625" customWidth="1"/>
    <col min="13065" max="13065" width="12.7109375" customWidth="1"/>
    <col min="13066" max="13067" width="0" hidden="1" customWidth="1"/>
    <col min="13068" max="13068" width="8.5703125" customWidth="1"/>
    <col min="13069" max="13069" width="14.7109375" bestFit="1" customWidth="1"/>
    <col min="13070" max="13070" width="13.7109375" customWidth="1"/>
    <col min="13071" max="13071" width="16.28515625" bestFit="1" customWidth="1"/>
    <col min="13072" max="13072" width="14.85546875" customWidth="1"/>
    <col min="13073" max="13073" width="12.140625" customWidth="1"/>
    <col min="13074" max="13075" width="11.42578125" bestFit="1" customWidth="1"/>
    <col min="13076" max="13077" width="9.7109375" customWidth="1"/>
    <col min="13078" max="13078" width="15.85546875" customWidth="1"/>
    <col min="13079" max="13079" width="14.7109375" customWidth="1"/>
    <col min="13080" max="13080" width="14.85546875" customWidth="1"/>
    <col min="13081" max="13081" width="22.42578125" customWidth="1"/>
    <col min="13082" max="13082" width="2.85546875" customWidth="1"/>
    <col min="13083" max="13083" width="12.140625" bestFit="1" customWidth="1"/>
    <col min="13084" max="13295" width="9.140625" customWidth="1"/>
    <col min="13296" max="13296" width="4.42578125" customWidth="1"/>
    <col min="13297" max="13297" width="21.5703125" customWidth="1"/>
    <col min="13298" max="13298" width="17.28515625" customWidth="1"/>
    <col min="13299" max="13299" width="16.42578125" customWidth="1"/>
    <col min="13300" max="13300" width="9.85546875" customWidth="1"/>
    <col min="13301" max="13301" width="9.140625" customWidth="1"/>
    <col min="13302" max="13302" width="14.28515625" customWidth="1"/>
    <col min="13303" max="13303" width="8.42578125" customWidth="1"/>
    <col min="13304" max="13304" width="6.7109375" customWidth="1"/>
    <col min="13305" max="13305" width="7.42578125" customWidth="1"/>
    <col min="13313" max="13313" width="4.42578125" customWidth="1"/>
    <col min="13314" max="13314" width="7.42578125" customWidth="1"/>
    <col min="13315" max="13315" width="6.7109375" customWidth="1"/>
    <col min="13316" max="13316" width="26.42578125" customWidth="1"/>
    <col min="13317" max="13317" width="17.5703125" customWidth="1"/>
    <col min="13318" max="13318" width="13" bestFit="1" customWidth="1"/>
    <col min="13319" max="13319" width="11.28515625" customWidth="1"/>
    <col min="13320" max="13320" width="14.28515625" customWidth="1"/>
    <col min="13321" max="13321" width="12.7109375" customWidth="1"/>
    <col min="13322" max="13323" width="0" hidden="1" customWidth="1"/>
    <col min="13324" max="13324" width="8.5703125" customWidth="1"/>
    <col min="13325" max="13325" width="14.7109375" bestFit="1" customWidth="1"/>
    <col min="13326" max="13326" width="13.7109375" customWidth="1"/>
    <col min="13327" max="13327" width="16.28515625" bestFit="1" customWidth="1"/>
    <col min="13328" max="13328" width="14.85546875" customWidth="1"/>
    <col min="13329" max="13329" width="12.140625" customWidth="1"/>
    <col min="13330" max="13331" width="11.42578125" bestFit="1" customWidth="1"/>
    <col min="13332" max="13333" width="9.7109375" customWidth="1"/>
    <col min="13334" max="13334" width="15.85546875" customWidth="1"/>
    <col min="13335" max="13335" width="14.7109375" customWidth="1"/>
    <col min="13336" max="13336" width="14.85546875" customWidth="1"/>
    <col min="13337" max="13337" width="22.42578125" customWidth="1"/>
    <col min="13338" max="13338" width="2.85546875" customWidth="1"/>
    <col min="13339" max="13339" width="12.140625" bestFit="1" customWidth="1"/>
    <col min="13340" max="13551" width="9.140625" customWidth="1"/>
    <col min="13552" max="13552" width="4.42578125" customWidth="1"/>
    <col min="13553" max="13553" width="21.5703125" customWidth="1"/>
    <col min="13554" max="13554" width="17.28515625" customWidth="1"/>
    <col min="13555" max="13555" width="16.42578125" customWidth="1"/>
    <col min="13556" max="13556" width="9.85546875" customWidth="1"/>
    <col min="13557" max="13557" width="9.140625" customWidth="1"/>
    <col min="13558" max="13558" width="14.28515625" customWidth="1"/>
    <col min="13559" max="13559" width="8.42578125" customWidth="1"/>
    <col min="13560" max="13560" width="6.7109375" customWidth="1"/>
    <col min="13561" max="13561" width="7.42578125" customWidth="1"/>
    <col min="13569" max="13569" width="4.42578125" customWidth="1"/>
    <col min="13570" max="13570" width="7.42578125" customWidth="1"/>
    <col min="13571" max="13571" width="6.7109375" customWidth="1"/>
    <col min="13572" max="13572" width="26.42578125" customWidth="1"/>
    <col min="13573" max="13573" width="17.5703125" customWidth="1"/>
    <col min="13574" max="13574" width="13" bestFit="1" customWidth="1"/>
    <col min="13575" max="13575" width="11.28515625" customWidth="1"/>
    <col min="13576" max="13576" width="14.28515625" customWidth="1"/>
    <col min="13577" max="13577" width="12.7109375" customWidth="1"/>
    <col min="13578" max="13579" width="0" hidden="1" customWidth="1"/>
    <col min="13580" max="13580" width="8.5703125" customWidth="1"/>
    <col min="13581" max="13581" width="14.7109375" bestFit="1" customWidth="1"/>
    <col min="13582" max="13582" width="13.7109375" customWidth="1"/>
    <col min="13583" max="13583" width="16.28515625" bestFit="1" customWidth="1"/>
    <col min="13584" max="13584" width="14.85546875" customWidth="1"/>
    <col min="13585" max="13585" width="12.140625" customWidth="1"/>
    <col min="13586" max="13587" width="11.42578125" bestFit="1" customWidth="1"/>
    <col min="13588" max="13589" width="9.7109375" customWidth="1"/>
    <col min="13590" max="13590" width="15.85546875" customWidth="1"/>
    <col min="13591" max="13591" width="14.7109375" customWidth="1"/>
    <col min="13592" max="13592" width="14.85546875" customWidth="1"/>
    <col min="13593" max="13593" width="22.42578125" customWidth="1"/>
    <col min="13594" max="13594" width="2.85546875" customWidth="1"/>
    <col min="13595" max="13595" width="12.140625" bestFit="1" customWidth="1"/>
    <col min="13596" max="13807" width="9.140625" customWidth="1"/>
    <col min="13808" max="13808" width="4.42578125" customWidth="1"/>
    <col min="13809" max="13809" width="21.5703125" customWidth="1"/>
    <col min="13810" max="13810" width="17.28515625" customWidth="1"/>
    <col min="13811" max="13811" width="16.42578125" customWidth="1"/>
    <col min="13812" max="13812" width="9.85546875" customWidth="1"/>
    <col min="13813" max="13813" width="9.140625" customWidth="1"/>
    <col min="13814" max="13814" width="14.28515625" customWidth="1"/>
    <col min="13815" max="13815" width="8.42578125" customWidth="1"/>
    <col min="13816" max="13816" width="6.7109375" customWidth="1"/>
    <col min="13817" max="13817" width="7.42578125" customWidth="1"/>
    <col min="13825" max="13825" width="4.42578125" customWidth="1"/>
    <col min="13826" max="13826" width="7.42578125" customWidth="1"/>
    <col min="13827" max="13827" width="6.7109375" customWidth="1"/>
    <col min="13828" max="13828" width="26.42578125" customWidth="1"/>
    <col min="13829" max="13829" width="17.5703125" customWidth="1"/>
    <col min="13830" max="13830" width="13" bestFit="1" customWidth="1"/>
    <col min="13831" max="13831" width="11.28515625" customWidth="1"/>
    <col min="13832" max="13832" width="14.28515625" customWidth="1"/>
    <col min="13833" max="13833" width="12.7109375" customWidth="1"/>
    <col min="13834" max="13835" width="0" hidden="1" customWidth="1"/>
    <col min="13836" max="13836" width="8.5703125" customWidth="1"/>
    <col min="13837" max="13837" width="14.7109375" bestFit="1" customWidth="1"/>
    <col min="13838" max="13838" width="13.7109375" customWidth="1"/>
    <col min="13839" max="13839" width="16.28515625" bestFit="1" customWidth="1"/>
    <col min="13840" max="13840" width="14.85546875" customWidth="1"/>
    <col min="13841" max="13841" width="12.140625" customWidth="1"/>
    <col min="13842" max="13843" width="11.42578125" bestFit="1" customWidth="1"/>
    <col min="13844" max="13845" width="9.7109375" customWidth="1"/>
    <col min="13846" max="13846" width="15.85546875" customWidth="1"/>
    <col min="13847" max="13847" width="14.7109375" customWidth="1"/>
    <col min="13848" max="13848" width="14.85546875" customWidth="1"/>
    <col min="13849" max="13849" width="22.42578125" customWidth="1"/>
    <col min="13850" max="13850" width="2.85546875" customWidth="1"/>
    <col min="13851" max="13851" width="12.140625" bestFit="1" customWidth="1"/>
    <col min="13852" max="14063" width="9.140625" customWidth="1"/>
    <col min="14064" max="14064" width="4.42578125" customWidth="1"/>
    <col min="14065" max="14065" width="21.5703125" customWidth="1"/>
    <col min="14066" max="14066" width="17.28515625" customWidth="1"/>
    <col min="14067" max="14067" width="16.42578125" customWidth="1"/>
    <col min="14068" max="14068" width="9.85546875" customWidth="1"/>
    <col min="14069" max="14069" width="9.140625" customWidth="1"/>
    <col min="14070" max="14070" width="14.28515625" customWidth="1"/>
    <col min="14071" max="14071" width="8.42578125" customWidth="1"/>
    <col min="14072" max="14072" width="6.7109375" customWidth="1"/>
    <col min="14073" max="14073" width="7.42578125" customWidth="1"/>
    <col min="14081" max="14081" width="4.42578125" customWidth="1"/>
    <col min="14082" max="14082" width="7.42578125" customWidth="1"/>
    <col min="14083" max="14083" width="6.7109375" customWidth="1"/>
    <col min="14084" max="14084" width="26.42578125" customWidth="1"/>
    <col min="14085" max="14085" width="17.5703125" customWidth="1"/>
    <col min="14086" max="14086" width="13" bestFit="1" customWidth="1"/>
    <col min="14087" max="14087" width="11.28515625" customWidth="1"/>
    <col min="14088" max="14088" width="14.28515625" customWidth="1"/>
    <col min="14089" max="14089" width="12.7109375" customWidth="1"/>
    <col min="14090" max="14091" width="0" hidden="1" customWidth="1"/>
    <col min="14092" max="14092" width="8.5703125" customWidth="1"/>
    <col min="14093" max="14093" width="14.7109375" bestFit="1" customWidth="1"/>
    <col min="14094" max="14094" width="13.7109375" customWidth="1"/>
    <col min="14095" max="14095" width="16.28515625" bestFit="1" customWidth="1"/>
    <col min="14096" max="14096" width="14.85546875" customWidth="1"/>
    <col min="14097" max="14097" width="12.140625" customWidth="1"/>
    <col min="14098" max="14099" width="11.42578125" bestFit="1" customWidth="1"/>
    <col min="14100" max="14101" width="9.7109375" customWidth="1"/>
    <col min="14102" max="14102" width="15.85546875" customWidth="1"/>
    <col min="14103" max="14103" width="14.7109375" customWidth="1"/>
    <col min="14104" max="14104" width="14.85546875" customWidth="1"/>
    <col min="14105" max="14105" width="22.42578125" customWidth="1"/>
    <col min="14106" max="14106" width="2.85546875" customWidth="1"/>
    <col min="14107" max="14107" width="12.140625" bestFit="1" customWidth="1"/>
    <col min="14108" max="14319" width="9.140625" customWidth="1"/>
    <col min="14320" max="14320" width="4.42578125" customWidth="1"/>
    <col min="14321" max="14321" width="21.5703125" customWidth="1"/>
    <col min="14322" max="14322" width="17.28515625" customWidth="1"/>
    <col min="14323" max="14323" width="16.42578125" customWidth="1"/>
    <col min="14324" max="14324" width="9.85546875" customWidth="1"/>
    <col min="14325" max="14325" width="9.140625" customWidth="1"/>
    <col min="14326" max="14326" width="14.28515625" customWidth="1"/>
    <col min="14327" max="14327" width="8.42578125" customWidth="1"/>
    <col min="14328" max="14328" width="6.7109375" customWidth="1"/>
    <col min="14329" max="14329" width="7.42578125" customWidth="1"/>
    <col min="14337" max="14337" width="4.42578125" customWidth="1"/>
    <col min="14338" max="14338" width="7.42578125" customWidth="1"/>
    <col min="14339" max="14339" width="6.7109375" customWidth="1"/>
    <col min="14340" max="14340" width="26.42578125" customWidth="1"/>
    <col min="14341" max="14341" width="17.5703125" customWidth="1"/>
    <col min="14342" max="14342" width="13" bestFit="1" customWidth="1"/>
    <col min="14343" max="14343" width="11.28515625" customWidth="1"/>
    <col min="14344" max="14344" width="14.28515625" customWidth="1"/>
    <col min="14345" max="14345" width="12.7109375" customWidth="1"/>
    <col min="14346" max="14347" width="0" hidden="1" customWidth="1"/>
    <col min="14348" max="14348" width="8.5703125" customWidth="1"/>
    <col min="14349" max="14349" width="14.7109375" bestFit="1" customWidth="1"/>
    <col min="14350" max="14350" width="13.7109375" customWidth="1"/>
    <col min="14351" max="14351" width="16.28515625" bestFit="1" customWidth="1"/>
    <col min="14352" max="14352" width="14.85546875" customWidth="1"/>
    <col min="14353" max="14353" width="12.140625" customWidth="1"/>
    <col min="14354" max="14355" width="11.42578125" bestFit="1" customWidth="1"/>
    <col min="14356" max="14357" width="9.7109375" customWidth="1"/>
    <col min="14358" max="14358" width="15.85546875" customWidth="1"/>
    <col min="14359" max="14359" width="14.7109375" customWidth="1"/>
    <col min="14360" max="14360" width="14.85546875" customWidth="1"/>
    <col min="14361" max="14361" width="22.42578125" customWidth="1"/>
    <col min="14362" max="14362" width="2.85546875" customWidth="1"/>
    <col min="14363" max="14363" width="12.140625" bestFit="1" customWidth="1"/>
    <col min="14364" max="14575" width="9.140625" customWidth="1"/>
    <col min="14576" max="14576" width="4.42578125" customWidth="1"/>
    <col min="14577" max="14577" width="21.5703125" customWidth="1"/>
    <col min="14578" max="14578" width="17.28515625" customWidth="1"/>
    <col min="14579" max="14579" width="16.42578125" customWidth="1"/>
    <col min="14580" max="14580" width="9.85546875" customWidth="1"/>
    <col min="14581" max="14581" width="9.140625" customWidth="1"/>
    <col min="14582" max="14582" width="14.28515625" customWidth="1"/>
    <col min="14583" max="14583" width="8.42578125" customWidth="1"/>
    <col min="14584" max="14584" width="6.7109375" customWidth="1"/>
    <col min="14585" max="14585" width="7.42578125" customWidth="1"/>
    <col min="14593" max="14593" width="4.42578125" customWidth="1"/>
    <col min="14594" max="14594" width="7.42578125" customWidth="1"/>
    <col min="14595" max="14595" width="6.7109375" customWidth="1"/>
    <col min="14596" max="14596" width="26.42578125" customWidth="1"/>
    <col min="14597" max="14597" width="17.5703125" customWidth="1"/>
    <col min="14598" max="14598" width="13" bestFit="1" customWidth="1"/>
    <col min="14599" max="14599" width="11.28515625" customWidth="1"/>
    <col min="14600" max="14600" width="14.28515625" customWidth="1"/>
    <col min="14601" max="14601" width="12.7109375" customWidth="1"/>
    <col min="14602" max="14603" width="0" hidden="1" customWidth="1"/>
    <col min="14604" max="14604" width="8.5703125" customWidth="1"/>
    <col min="14605" max="14605" width="14.7109375" bestFit="1" customWidth="1"/>
    <col min="14606" max="14606" width="13.7109375" customWidth="1"/>
    <col min="14607" max="14607" width="16.28515625" bestFit="1" customWidth="1"/>
    <col min="14608" max="14608" width="14.85546875" customWidth="1"/>
    <col min="14609" max="14609" width="12.140625" customWidth="1"/>
    <col min="14610" max="14611" width="11.42578125" bestFit="1" customWidth="1"/>
    <col min="14612" max="14613" width="9.7109375" customWidth="1"/>
    <col min="14614" max="14614" width="15.85546875" customWidth="1"/>
    <col min="14615" max="14615" width="14.7109375" customWidth="1"/>
    <col min="14616" max="14616" width="14.85546875" customWidth="1"/>
    <col min="14617" max="14617" width="22.42578125" customWidth="1"/>
    <col min="14618" max="14618" width="2.85546875" customWidth="1"/>
    <col min="14619" max="14619" width="12.140625" bestFit="1" customWidth="1"/>
    <col min="14620" max="14831" width="9.140625" customWidth="1"/>
    <col min="14832" max="14832" width="4.42578125" customWidth="1"/>
    <col min="14833" max="14833" width="21.5703125" customWidth="1"/>
    <col min="14834" max="14834" width="17.28515625" customWidth="1"/>
    <col min="14835" max="14835" width="16.42578125" customWidth="1"/>
    <col min="14836" max="14836" width="9.85546875" customWidth="1"/>
    <col min="14837" max="14837" width="9.140625" customWidth="1"/>
    <col min="14838" max="14838" width="14.28515625" customWidth="1"/>
    <col min="14839" max="14839" width="8.42578125" customWidth="1"/>
    <col min="14840" max="14840" width="6.7109375" customWidth="1"/>
    <col min="14841" max="14841" width="7.42578125" customWidth="1"/>
    <col min="14849" max="14849" width="4.42578125" customWidth="1"/>
    <col min="14850" max="14850" width="7.42578125" customWidth="1"/>
    <col min="14851" max="14851" width="6.7109375" customWidth="1"/>
    <col min="14852" max="14852" width="26.42578125" customWidth="1"/>
    <col min="14853" max="14853" width="17.5703125" customWidth="1"/>
    <col min="14854" max="14854" width="13" bestFit="1" customWidth="1"/>
    <col min="14855" max="14855" width="11.28515625" customWidth="1"/>
    <col min="14856" max="14856" width="14.28515625" customWidth="1"/>
    <col min="14857" max="14857" width="12.7109375" customWidth="1"/>
    <col min="14858" max="14859" width="0" hidden="1" customWidth="1"/>
    <col min="14860" max="14860" width="8.5703125" customWidth="1"/>
    <col min="14861" max="14861" width="14.7109375" bestFit="1" customWidth="1"/>
    <col min="14862" max="14862" width="13.7109375" customWidth="1"/>
    <col min="14863" max="14863" width="16.28515625" bestFit="1" customWidth="1"/>
    <col min="14864" max="14864" width="14.85546875" customWidth="1"/>
    <col min="14865" max="14865" width="12.140625" customWidth="1"/>
    <col min="14866" max="14867" width="11.42578125" bestFit="1" customWidth="1"/>
    <col min="14868" max="14869" width="9.7109375" customWidth="1"/>
    <col min="14870" max="14870" width="15.85546875" customWidth="1"/>
    <col min="14871" max="14871" width="14.7109375" customWidth="1"/>
    <col min="14872" max="14872" width="14.85546875" customWidth="1"/>
    <col min="14873" max="14873" width="22.42578125" customWidth="1"/>
    <col min="14874" max="14874" width="2.85546875" customWidth="1"/>
    <col min="14875" max="14875" width="12.140625" bestFit="1" customWidth="1"/>
    <col min="14876" max="15087" width="9.140625" customWidth="1"/>
    <col min="15088" max="15088" width="4.42578125" customWidth="1"/>
    <col min="15089" max="15089" width="21.5703125" customWidth="1"/>
    <col min="15090" max="15090" width="17.28515625" customWidth="1"/>
    <col min="15091" max="15091" width="16.42578125" customWidth="1"/>
    <col min="15092" max="15092" width="9.85546875" customWidth="1"/>
    <col min="15093" max="15093" width="9.140625" customWidth="1"/>
    <col min="15094" max="15094" width="14.28515625" customWidth="1"/>
    <col min="15095" max="15095" width="8.42578125" customWidth="1"/>
    <col min="15096" max="15096" width="6.7109375" customWidth="1"/>
    <col min="15097" max="15097" width="7.42578125" customWidth="1"/>
    <col min="15105" max="15105" width="4.42578125" customWidth="1"/>
    <col min="15106" max="15106" width="7.42578125" customWidth="1"/>
    <col min="15107" max="15107" width="6.7109375" customWidth="1"/>
    <col min="15108" max="15108" width="26.42578125" customWidth="1"/>
    <col min="15109" max="15109" width="17.5703125" customWidth="1"/>
    <col min="15110" max="15110" width="13" bestFit="1" customWidth="1"/>
    <col min="15111" max="15111" width="11.28515625" customWidth="1"/>
    <col min="15112" max="15112" width="14.28515625" customWidth="1"/>
    <col min="15113" max="15113" width="12.7109375" customWidth="1"/>
    <col min="15114" max="15115" width="0" hidden="1" customWidth="1"/>
    <col min="15116" max="15116" width="8.5703125" customWidth="1"/>
    <col min="15117" max="15117" width="14.7109375" bestFit="1" customWidth="1"/>
    <col min="15118" max="15118" width="13.7109375" customWidth="1"/>
    <col min="15119" max="15119" width="16.28515625" bestFit="1" customWidth="1"/>
    <col min="15120" max="15120" width="14.85546875" customWidth="1"/>
    <col min="15121" max="15121" width="12.140625" customWidth="1"/>
    <col min="15122" max="15123" width="11.42578125" bestFit="1" customWidth="1"/>
    <col min="15124" max="15125" width="9.7109375" customWidth="1"/>
    <col min="15126" max="15126" width="15.85546875" customWidth="1"/>
    <col min="15127" max="15127" width="14.7109375" customWidth="1"/>
    <col min="15128" max="15128" width="14.85546875" customWidth="1"/>
    <col min="15129" max="15129" width="22.42578125" customWidth="1"/>
    <col min="15130" max="15130" width="2.85546875" customWidth="1"/>
    <col min="15131" max="15131" width="12.140625" bestFit="1" customWidth="1"/>
    <col min="15132" max="15343" width="9.140625" customWidth="1"/>
    <col min="15344" max="15344" width="4.42578125" customWidth="1"/>
    <col min="15345" max="15345" width="21.5703125" customWidth="1"/>
    <col min="15346" max="15346" width="17.28515625" customWidth="1"/>
    <col min="15347" max="15347" width="16.42578125" customWidth="1"/>
    <col min="15348" max="15348" width="9.85546875" customWidth="1"/>
    <col min="15349" max="15349" width="9.140625" customWidth="1"/>
    <col min="15350" max="15350" width="14.28515625" customWidth="1"/>
    <col min="15351" max="15351" width="8.42578125" customWidth="1"/>
    <col min="15352" max="15352" width="6.7109375" customWidth="1"/>
    <col min="15353" max="15353" width="7.42578125" customWidth="1"/>
    <col min="15361" max="15361" width="4.42578125" customWidth="1"/>
    <col min="15362" max="15362" width="7.42578125" customWidth="1"/>
    <col min="15363" max="15363" width="6.7109375" customWidth="1"/>
    <col min="15364" max="15364" width="26.42578125" customWidth="1"/>
    <col min="15365" max="15365" width="17.5703125" customWidth="1"/>
    <col min="15366" max="15366" width="13" bestFit="1" customWidth="1"/>
    <col min="15367" max="15367" width="11.28515625" customWidth="1"/>
    <col min="15368" max="15368" width="14.28515625" customWidth="1"/>
    <col min="15369" max="15369" width="12.7109375" customWidth="1"/>
    <col min="15370" max="15371" width="0" hidden="1" customWidth="1"/>
    <col min="15372" max="15372" width="8.5703125" customWidth="1"/>
    <col min="15373" max="15373" width="14.7109375" bestFit="1" customWidth="1"/>
    <col min="15374" max="15374" width="13.7109375" customWidth="1"/>
    <col min="15375" max="15375" width="16.28515625" bestFit="1" customWidth="1"/>
    <col min="15376" max="15376" width="14.85546875" customWidth="1"/>
    <col min="15377" max="15377" width="12.140625" customWidth="1"/>
    <col min="15378" max="15379" width="11.42578125" bestFit="1" customWidth="1"/>
    <col min="15380" max="15381" width="9.7109375" customWidth="1"/>
    <col min="15382" max="15382" width="15.85546875" customWidth="1"/>
    <col min="15383" max="15383" width="14.7109375" customWidth="1"/>
    <col min="15384" max="15384" width="14.85546875" customWidth="1"/>
    <col min="15385" max="15385" width="22.42578125" customWidth="1"/>
    <col min="15386" max="15386" width="2.85546875" customWidth="1"/>
    <col min="15387" max="15387" width="12.140625" bestFit="1" customWidth="1"/>
    <col min="15388" max="15599" width="9.140625" customWidth="1"/>
    <col min="15600" max="15600" width="4.42578125" customWidth="1"/>
    <col min="15601" max="15601" width="21.5703125" customWidth="1"/>
    <col min="15602" max="15602" width="17.28515625" customWidth="1"/>
    <col min="15603" max="15603" width="16.42578125" customWidth="1"/>
    <col min="15604" max="15604" width="9.85546875" customWidth="1"/>
    <col min="15605" max="15605" width="9.140625" customWidth="1"/>
    <col min="15606" max="15606" width="14.28515625" customWidth="1"/>
    <col min="15607" max="15607" width="8.42578125" customWidth="1"/>
    <col min="15608" max="15608" width="6.7109375" customWidth="1"/>
    <col min="15609" max="15609" width="7.42578125" customWidth="1"/>
    <col min="15617" max="15617" width="4.42578125" customWidth="1"/>
    <col min="15618" max="15618" width="7.42578125" customWidth="1"/>
    <col min="15619" max="15619" width="6.7109375" customWidth="1"/>
    <col min="15620" max="15620" width="26.42578125" customWidth="1"/>
    <col min="15621" max="15621" width="17.5703125" customWidth="1"/>
    <col min="15622" max="15622" width="13" bestFit="1" customWidth="1"/>
    <col min="15623" max="15623" width="11.28515625" customWidth="1"/>
    <col min="15624" max="15624" width="14.28515625" customWidth="1"/>
    <col min="15625" max="15625" width="12.7109375" customWidth="1"/>
    <col min="15626" max="15627" width="0" hidden="1" customWidth="1"/>
    <col min="15628" max="15628" width="8.5703125" customWidth="1"/>
    <col min="15629" max="15629" width="14.7109375" bestFit="1" customWidth="1"/>
    <col min="15630" max="15630" width="13.7109375" customWidth="1"/>
    <col min="15631" max="15631" width="16.28515625" bestFit="1" customWidth="1"/>
    <col min="15632" max="15632" width="14.85546875" customWidth="1"/>
    <col min="15633" max="15633" width="12.140625" customWidth="1"/>
    <col min="15634" max="15635" width="11.42578125" bestFit="1" customWidth="1"/>
    <col min="15636" max="15637" width="9.7109375" customWidth="1"/>
    <col min="15638" max="15638" width="15.85546875" customWidth="1"/>
    <col min="15639" max="15639" width="14.7109375" customWidth="1"/>
    <col min="15640" max="15640" width="14.85546875" customWidth="1"/>
    <col min="15641" max="15641" width="22.42578125" customWidth="1"/>
    <col min="15642" max="15642" width="2.85546875" customWidth="1"/>
    <col min="15643" max="15643" width="12.140625" bestFit="1" customWidth="1"/>
    <col min="15644" max="15855" width="9.140625" customWidth="1"/>
    <col min="15856" max="15856" width="4.42578125" customWidth="1"/>
    <col min="15857" max="15857" width="21.5703125" customWidth="1"/>
    <col min="15858" max="15858" width="17.28515625" customWidth="1"/>
    <col min="15859" max="15859" width="16.42578125" customWidth="1"/>
    <col min="15860" max="15860" width="9.85546875" customWidth="1"/>
    <col min="15861" max="15861" width="9.140625" customWidth="1"/>
    <col min="15862" max="15862" width="14.28515625" customWidth="1"/>
    <col min="15863" max="15863" width="8.42578125" customWidth="1"/>
    <col min="15864" max="15864" width="6.7109375" customWidth="1"/>
    <col min="15865" max="15865" width="7.42578125" customWidth="1"/>
    <col min="15873" max="15873" width="4.42578125" customWidth="1"/>
    <col min="15874" max="15874" width="7.42578125" customWidth="1"/>
    <col min="15875" max="15875" width="6.7109375" customWidth="1"/>
    <col min="15876" max="15876" width="26.42578125" customWidth="1"/>
    <col min="15877" max="15877" width="17.5703125" customWidth="1"/>
    <col min="15878" max="15878" width="13" bestFit="1" customWidth="1"/>
    <col min="15879" max="15879" width="11.28515625" customWidth="1"/>
    <col min="15880" max="15880" width="14.28515625" customWidth="1"/>
    <col min="15881" max="15881" width="12.7109375" customWidth="1"/>
    <col min="15882" max="15883" width="0" hidden="1" customWidth="1"/>
    <col min="15884" max="15884" width="8.5703125" customWidth="1"/>
    <col min="15885" max="15885" width="14.7109375" bestFit="1" customWidth="1"/>
    <col min="15886" max="15886" width="13.7109375" customWidth="1"/>
    <col min="15887" max="15887" width="16.28515625" bestFit="1" customWidth="1"/>
    <col min="15888" max="15888" width="14.85546875" customWidth="1"/>
    <col min="15889" max="15889" width="12.140625" customWidth="1"/>
    <col min="15890" max="15891" width="11.42578125" bestFit="1" customWidth="1"/>
    <col min="15892" max="15893" width="9.7109375" customWidth="1"/>
    <col min="15894" max="15894" width="15.85546875" customWidth="1"/>
    <col min="15895" max="15895" width="14.7109375" customWidth="1"/>
    <col min="15896" max="15896" width="14.85546875" customWidth="1"/>
    <col min="15897" max="15897" width="22.42578125" customWidth="1"/>
    <col min="15898" max="15898" width="2.85546875" customWidth="1"/>
    <col min="15899" max="15899" width="12.140625" bestFit="1" customWidth="1"/>
    <col min="15900" max="16111" width="9.140625" customWidth="1"/>
    <col min="16112" max="16112" width="4.42578125" customWidth="1"/>
    <col min="16113" max="16113" width="21.5703125" customWidth="1"/>
    <col min="16114" max="16114" width="17.28515625" customWidth="1"/>
    <col min="16115" max="16115" width="16.42578125" customWidth="1"/>
    <col min="16116" max="16116" width="9.85546875" customWidth="1"/>
    <col min="16117" max="16117" width="9.140625" customWidth="1"/>
    <col min="16118" max="16118" width="14.28515625" customWidth="1"/>
    <col min="16119" max="16119" width="8.42578125" customWidth="1"/>
    <col min="16120" max="16120" width="6.7109375" customWidth="1"/>
    <col min="16121" max="16121" width="7.42578125" customWidth="1"/>
    <col min="16129" max="16129" width="4.42578125" customWidth="1"/>
    <col min="16130" max="16130" width="7.42578125" customWidth="1"/>
    <col min="16131" max="16131" width="6.7109375" customWidth="1"/>
    <col min="16132" max="16132" width="26.42578125" customWidth="1"/>
    <col min="16133" max="16133" width="17.5703125" customWidth="1"/>
    <col min="16134" max="16134" width="13" bestFit="1" customWidth="1"/>
    <col min="16135" max="16135" width="11.28515625" customWidth="1"/>
    <col min="16136" max="16136" width="14.28515625" customWidth="1"/>
    <col min="16137" max="16137" width="12.7109375" customWidth="1"/>
    <col min="16138" max="16139" width="0" hidden="1" customWidth="1"/>
    <col min="16140" max="16140" width="8.5703125" customWidth="1"/>
    <col min="16141" max="16141" width="14.7109375" bestFit="1" customWidth="1"/>
    <col min="16142" max="16142" width="13.7109375" customWidth="1"/>
    <col min="16143" max="16143" width="16.28515625" bestFit="1" customWidth="1"/>
    <col min="16144" max="16144" width="14.85546875" customWidth="1"/>
    <col min="16145" max="16145" width="12.140625" customWidth="1"/>
    <col min="16146" max="16147" width="11.42578125" bestFit="1" customWidth="1"/>
    <col min="16148" max="16149" width="9.7109375" customWidth="1"/>
    <col min="16150" max="16150" width="15.85546875" customWidth="1"/>
    <col min="16151" max="16151" width="14.7109375" customWidth="1"/>
    <col min="16152" max="16152" width="14.85546875" customWidth="1"/>
    <col min="16153" max="16153" width="22.42578125" customWidth="1"/>
    <col min="16154" max="16154" width="2.85546875" customWidth="1"/>
    <col min="16155" max="16155" width="12.140625" bestFit="1" customWidth="1"/>
    <col min="16156" max="16367" width="9.140625" customWidth="1"/>
    <col min="16368" max="16368" width="4.42578125" customWidth="1"/>
    <col min="16369" max="16369" width="21.5703125" customWidth="1"/>
    <col min="16370" max="16370" width="17.28515625" customWidth="1"/>
    <col min="16371" max="16371" width="16.42578125" customWidth="1"/>
    <col min="16372" max="16372" width="9.85546875" customWidth="1"/>
    <col min="16373" max="16373" width="9.140625" customWidth="1"/>
    <col min="16374" max="16374" width="14.28515625" customWidth="1"/>
    <col min="16375" max="16375" width="8.42578125" customWidth="1"/>
    <col min="16376" max="16376" width="6.7109375" customWidth="1"/>
    <col min="16377" max="16377" width="7.42578125" customWidth="1"/>
  </cols>
  <sheetData>
    <row r="1" spans="1:27" x14ac:dyDescent="0.25">
      <c r="A1" s="24"/>
      <c r="B1" s="24"/>
      <c r="C1" s="25"/>
      <c r="D1" s="25"/>
      <c r="E1" s="24"/>
      <c r="F1" s="26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7" ht="20.25" x14ac:dyDescent="0.3">
      <c r="A2" s="27"/>
      <c r="B2" s="27"/>
      <c r="C2" s="28"/>
      <c r="D2" s="28"/>
      <c r="E2" s="149" t="s">
        <v>41</v>
      </c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27"/>
      <c r="S2" s="27"/>
      <c r="T2" s="27"/>
      <c r="U2" s="27"/>
      <c r="V2" s="27"/>
      <c r="W2" s="27"/>
      <c r="X2" s="27"/>
      <c r="Y2" s="27"/>
    </row>
    <row r="3" spans="1:27" ht="11.25" customHeight="1" x14ac:dyDescent="0.25">
      <c r="A3" s="24"/>
      <c r="B3" s="24"/>
      <c r="C3" s="25"/>
      <c r="D3" s="25"/>
      <c r="E3" s="24"/>
      <c r="F3" s="26"/>
      <c r="G3" s="24"/>
      <c r="H3" s="24"/>
      <c r="I3" s="29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 spans="1:27" x14ac:dyDescent="0.25">
      <c r="A4" s="24" t="s">
        <v>42</v>
      </c>
      <c r="B4" s="24"/>
      <c r="C4" s="25"/>
      <c r="D4" s="24" t="s">
        <v>92</v>
      </c>
      <c r="E4" s="24"/>
      <c r="F4" s="26"/>
      <c r="G4" s="24"/>
      <c r="H4" s="24"/>
      <c r="I4" s="29"/>
      <c r="J4" s="24"/>
      <c r="K4" s="24" t="s">
        <v>43</v>
      </c>
      <c r="L4" s="24"/>
      <c r="M4" s="24"/>
      <c r="N4" s="24" t="s">
        <v>93</v>
      </c>
      <c r="O4" s="24"/>
      <c r="P4" s="24"/>
      <c r="Q4" s="24"/>
      <c r="R4" s="24"/>
      <c r="S4" s="24"/>
      <c r="T4" s="24"/>
      <c r="V4" s="24" t="s">
        <v>44</v>
      </c>
      <c r="W4" s="24"/>
      <c r="X4" s="30">
        <v>46023</v>
      </c>
      <c r="Y4" s="24"/>
    </row>
    <row r="5" spans="1:27" x14ac:dyDescent="0.25">
      <c r="A5" s="24" t="s">
        <v>45</v>
      </c>
      <c r="B5" s="24"/>
      <c r="C5" s="25"/>
      <c r="D5" s="25"/>
      <c r="E5" s="24"/>
      <c r="F5" s="26"/>
      <c r="G5" s="24"/>
      <c r="H5" s="24"/>
      <c r="I5" s="29"/>
      <c r="J5" s="24"/>
      <c r="K5" s="24" t="s">
        <v>46</v>
      </c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 spans="1:27" x14ac:dyDescent="0.25">
      <c r="A6" s="24"/>
      <c r="B6" s="24"/>
      <c r="C6" s="25"/>
      <c r="D6" s="25"/>
      <c r="E6" s="24"/>
      <c r="F6" s="26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 spans="1:27" ht="12.75" customHeight="1" x14ac:dyDescent="0.25">
      <c r="A7" s="151" t="s">
        <v>47</v>
      </c>
      <c r="B7" s="154" t="s">
        <v>48</v>
      </c>
      <c r="C7" s="155"/>
      <c r="D7" s="155"/>
      <c r="E7" s="156"/>
      <c r="F7" s="154" t="s">
        <v>49</v>
      </c>
      <c r="G7" s="160"/>
      <c r="H7" s="160"/>
      <c r="I7" s="161"/>
      <c r="J7" s="165" t="s">
        <v>50</v>
      </c>
      <c r="K7" s="165" t="s">
        <v>51</v>
      </c>
      <c r="L7" s="31"/>
      <c r="M7" s="166" t="s">
        <v>52</v>
      </c>
      <c r="N7" s="166" t="s">
        <v>53</v>
      </c>
      <c r="O7" s="165" t="s">
        <v>54</v>
      </c>
      <c r="P7" s="168" t="s">
        <v>55</v>
      </c>
      <c r="Q7" s="160"/>
      <c r="R7" s="160"/>
      <c r="S7" s="160"/>
      <c r="T7" s="160"/>
      <c r="U7" s="161"/>
      <c r="V7" s="165" t="s">
        <v>56</v>
      </c>
      <c r="W7" s="169" t="s">
        <v>57</v>
      </c>
      <c r="X7" s="169" t="s">
        <v>58</v>
      </c>
      <c r="Y7" s="165" t="s">
        <v>59</v>
      </c>
    </row>
    <row r="8" spans="1:27" ht="12.75" customHeight="1" x14ac:dyDescent="0.25">
      <c r="A8" s="152"/>
      <c r="B8" s="157"/>
      <c r="C8" s="158"/>
      <c r="D8" s="158"/>
      <c r="E8" s="159"/>
      <c r="F8" s="162"/>
      <c r="G8" s="163"/>
      <c r="H8" s="163"/>
      <c r="I8" s="164"/>
      <c r="J8" s="152"/>
      <c r="K8" s="152"/>
      <c r="L8" s="32"/>
      <c r="M8" s="167"/>
      <c r="N8" s="167"/>
      <c r="O8" s="152"/>
      <c r="P8" s="162"/>
      <c r="Q8" s="163"/>
      <c r="R8" s="163"/>
      <c r="S8" s="163"/>
      <c r="T8" s="163"/>
      <c r="U8" s="164"/>
      <c r="V8" s="152"/>
      <c r="W8" s="152"/>
      <c r="X8" s="152"/>
      <c r="Y8" s="152"/>
    </row>
    <row r="9" spans="1:27" ht="21" customHeight="1" x14ac:dyDescent="0.25">
      <c r="A9" s="152"/>
      <c r="B9" s="151" t="s">
        <v>60</v>
      </c>
      <c r="C9" s="170" t="s">
        <v>61</v>
      </c>
      <c r="D9" s="33"/>
      <c r="E9" s="170" t="s">
        <v>62</v>
      </c>
      <c r="F9" s="171" t="s">
        <v>63</v>
      </c>
      <c r="G9" s="165" t="s">
        <v>64</v>
      </c>
      <c r="H9" s="165" t="s">
        <v>65</v>
      </c>
      <c r="I9" s="165" t="s">
        <v>66</v>
      </c>
      <c r="J9" s="152"/>
      <c r="K9" s="152"/>
      <c r="L9" s="130" t="s">
        <v>67</v>
      </c>
      <c r="M9" s="167"/>
      <c r="N9" s="167"/>
      <c r="O9" s="152"/>
      <c r="P9" s="177" t="s">
        <v>68</v>
      </c>
      <c r="Q9" s="177" t="s">
        <v>69</v>
      </c>
      <c r="R9" s="177" t="s">
        <v>70</v>
      </c>
      <c r="S9" s="177" t="s">
        <v>71</v>
      </c>
      <c r="T9" s="177" t="s">
        <v>72</v>
      </c>
      <c r="U9" s="178" t="s">
        <v>73</v>
      </c>
      <c r="V9" s="152"/>
      <c r="W9" s="152"/>
      <c r="X9" s="152"/>
      <c r="Y9" s="152"/>
    </row>
    <row r="10" spans="1:27" ht="21" customHeight="1" x14ac:dyDescent="0.25">
      <c r="A10" s="152"/>
      <c r="B10" s="152"/>
      <c r="C10" s="152"/>
      <c r="D10" s="32"/>
      <c r="E10" s="152"/>
      <c r="F10" s="172"/>
      <c r="G10" s="152"/>
      <c r="H10" s="152"/>
      <c r="I10" s="152"/>
      <c r="J10" s="152"/>
      <c r="K10" s="152"/>
      <c r="L10" s="176"/>
      <c r="M10" s="167"/>
      <c r="N10" s="167"/>
      <c r="O10" s="152"/>
      <c r="P10" s="152"/>
      <c r="Q10" s="152"/>
      <c r="R10" s="152"/>
      <c r="S10" s="152"/>
      <c r="T10" s="152"/>
      <c r="U10" s="179"/>
      <c r="V10" s="152"/>
      <c r="W10" s="152"/>
      <c r="X10" s="152"/>
      <c r="Y10" s="152"/>
    </row>
    <row r="11" spans="1:27" ht="21" customHeight="1" x14ac:dyDescent="0.25">
      <c r="A11" s="153"/>
      <c r="B11" s="153"/>
      <c r="C11" s="153"/>
      <c r="D11" s="34" t="s">
        <v>74</v>
      </c>
      <c r="E11" s="153"/>
      <c r="F11" s="173"/>
      <c r="G11" s="153"/>
      <c r="H11" s="153"/>
      <c r="I11" s="153"/>
      <c r="J11" s="153"/>
      <c r="K11" s="153"/>
      <c r="L11" s="176"/>
      <c r="M11" s="167"/>
      <c r="N11" s="167"/>
      <c r="O11" s="153"/>
      <c r="P11" s="153"/>
      <c r="Q11" s="153"/>
      <c r="R11" s="153"/>
      <c r="S11" s="153"/>
      <c r="T11" s="153"/>
      <c r="U11" s="180"/>
      <c r="V11" s="153"/>
      <c r="W11" s="153"/>
      <c r="X11" s="153"/>
      <c r="Y11" s="153"/>
    </row>
    <row r="12" spans="1:27" s="44" customFormat="1" ht="39.950000000000003" customHeight="1" x14ac:dyDescent="0.25">
      <c r="A12" s="35">
        <v>1</v>
      </c>
      <c r="B12" s="35"/>
      <c r="C12" s="36"/>
      <c r="D12" s="37" t="s">
        <v>85</v>
      </c>
      <c r="E12" s="38" t="s">
        <v>75</v>
      </c>
      <c r="F12" s="80">
        <v>8830.44</v>
      </c>
      <c r="G12" s="79">
        <v>0</v>
      </c>
      <c r="H12" s="80">
        <v>8830.44</v>
      </c>
      <c r="I12" s="39"/>
      <c r="J12" s="39"/>
      <c r="K12" s="39"/>
      <c r="L12" s="40"/>
      <c r="M12" s="39">
        <f t="shared" ref="M12:M18" si="0">H12</f>
        <v>8830.44</v>
      </c>
      <c r="N12" s="39">
        <f t="shared" ref="N12:O27" si="1">M12</f>
        <v>8830.44</v>
      </c>
      <c r="O12" s="41">
        <f t="shared" si="1"/>
        <v>8830.44</v>
      </c>
      <c r="P12" s="39">
        <f>(N12*20/100)</f>
        <v>1766.0880000000002</v>
      </c>
      <c r="Q12" s="39">
        <f t="shared" ref="Q12:Q27" si="2">((M12)*7.59/1000)</f>
        <v>67.023039600000004</v>
      </c>
      <c r="R12" s="42"/>
      <c r="S12" s="39"/>
      <c r="T12" s="39"/>
      <c r="U12" s="39"/>
      <c r="V12" s="39">
        <f t="shared" ref="V12:V27" si="3">P12+Q12+S12+U12</f>
        <v>1833.1110396000001</v>
      </c>
      <c r="W12" s="39"/>
      <c r="X12" s="43">
        <f t="shared" ref="X12:X27" si="4">M12-V12+W12</f>
        <v>6997.3289604000001</v>
      </c>
      <c r="Y12" s="39"/>
    </row>
    <row r="13" spans="1:27" s="44" customFormat="1" ht="39.950000000000003" customHeight="1" x14ac:dyDescent="0.25">
      <c r="A13" s="35">
        <v>2</v>
      </c>
      <c r="B13" s="45"/>
      <c r="C13" s="46"/>
      <c r="D13" s="47" t="s">
        <v>86</v>
      </c>
      <c r="E13" s="48" t="s">
        <v>76</v>
      </c>
      <c r="F13" s="39">
        <v>6307.46</v>
      </c>
      <c r="G13" s="49">
        <v>0</v>
      </c>
      <c r="H13" s="39">
        <v>6307.46</v>
      </c>
      <c r="I13" s="39"/>
      <c r="J13" s="39"/>
      <c r="K13" s="39"/>
      <c r="L13" s="40"/>
      <c r="M13" s="39">
        <f t="shared" si="0"/>
        <v>6307.46</v>
      </c>
      <c r="N13" s="39">
        <f t="shared" si="1"/>
        <v>6307.46</v>
      </c>
      <c r="O13" s="41">
        <f t="shared" si="1"/>
        <v>6307.46</v>
      </c>
      <c r="P13" s="39">
        <f>(N13*20/100)</f>
        <v>1261.492</v>
      </c>
      <c r="Q13" s="39">
        <f t="shared" si="2"/>
        <v>47.873621399999998</v>
      </c>
      <c r="R13" s="50"/>
      <c r="S13" s="39"/>
      <c r="T13" s="39"/>
      <c r="U13" s="39"/>
      <c r="V13" s="39">
        <f t="shared" si="3"/>
        <v>1309.3656214</v>
      </c>
      <c r="W13" s="39"/>
      <c r="X13" s="43">
        <f t="shared" si="4"/>
        <v>4998.0943785999998</v>
      </c>
      <c r="Y13" s="39"/>
    </row>
    <row r="14" spans="1:27" s="44" customFormat="1" ht="39.950000000000003" customHeight="1" x14ac:dyDescent="0.25">
      <c r="A14" s="35">
        <v>4</v>
      </c>
      <c r="B14" s="45" t="s">
        <v>78</v>
      </c>
      <c r="C14" s="46"/>
      <c r="D14" s="51" t="s">
        <v>115</v>
      </c>
      <c r="E14" s="56" t="s">
        <v>77</v>
      </c>
      <c r="F14" s="39">
        <v>286.7</v>
      </c>
      <c r="G14" s="49">
        <v>20</v>
      </c>
      <c r="H14" s="39">
        <f t="shared" ref="H14:H23" si="5">F14*G14</f>
        <v>5734</v>
      </c>
      <c r="I14" s="39"/>
      <c r="J14" s="39"/>
      <c r="K14" s="39"/>
      <c r="L14" s="40"/>
      <c r="M14" s="39">
        <f t="shared" si="0"/>
        <v>5734</v>
      </c>
      <c r="N14" s="39">
        <f t="shared" si="1"/>
        <v>5734</v>
      </c>
      <c r="O14" s="41">
        <f t="shared" si="1"/>
        <v>5734</v>
      </c>
      <c r="P14" s="39">
        <f t="shared" ref="P14:P18" si="6">(N14*15/100)</f>
        <v>860.1</v>
      </c>
      <c r="Q14" s="39">
        <f t="shared" si="2"/>
        <v>43.521059999999999</v>
      </c>
      <c r="R14" s="53"/>
      <c r="S14" s="39"/>
      <c r="T14" s="39"/>
      <c r="U14" s="39"/>
      <c r="V14" s="39">
        <f t="shared" si="3"/>
        <v>903.62106000000006</v>
      </c>
      <c r="W14" s="39"/>
      <c r="X14" s="43">
        <f t="shared" si="4"/>
        <v>4830.3789399999996</v>
      </c>
      <c r="Y14" s="40"/>
      <c r="AA14" s="52"/>
    </row>
    <row r="15" spans="1:27" s="44" customFormat="1" ht="39.950000000000003" customHeight="1" x14ac:dyDescent="0.25">
      <c r="A15" s="35">
        <v>5</v>
      </c>
      <c r="B15" s="45" t="s">
        <v>94</v>
      </c>
      <c r="C15" s="54"/>
      <c r="D15" s="55" t="s">
        <v>102</v>
      </c>
      <c r="E15" s="56" t="s">
        <v>77</v>
      </c>
      <c r="F15" s="39">
        <v>286.7</v>
      </c>
      <c r="G15" s="49">
        <v>20</v>
      </c>
      <c r="H15" s="39">
        <f t="shared" si="5"/>
        <v>5734</v>
      </c>
      <c r="I15" s="39"/>
      <c r="J15" s="39"/>
      <c r="K15" s="39"/>
      <c r="L15" s="40"/>
      <c r="M15" s="39">
        <f t="shared" si="0"/>
        <v>5734</v>
      </c>
      <c r="N15" s="39">
        <f t="shared" si="1"/>
        <v>5734</v>
      </c>
      <c r="O15" s="41">
        <f t="shared" si="1"/>
        <v>5734</v>
      </c>
      <c r="P15" s="39">
        <f t="shared" si="6"/>
        <v>860.1</v>
      </c>
      <c r="Q15" s="39">
        <f t="shared" si="2"/>
        <v>43.521059999999999</v>
      </c>
      <c r="R15" s="53"/>
      <c r="S15" s="39"/>
      <c r="T15" s="39"/>
      <c r="U15" s="39"/>
      <c r="V15" s="39">
        <f t="shared" si="3"/>
        <v>903.62106000000006</v>
      </c>
      <c r="W15" s="39"/>
      <c r="X15" s="43">
        <f t="shared" si="4"/>
        <v>4830.3789399999996</v>
      </c>
      <c r="Y15" s="40"/>
      <c r="AA15" s="52"/>
    </row>
    <row r="16" spans="1:27" s="44" customFormat="1" ht="39.950000000000003" customHeight="1" x14ac:dyDescent="0.25">
      <c r="A16" s="35">
        <v>6</v>
      </c>
      <c r="B16" s="45" t="s">
        <v>95</v>
      </c>
      <c r="C16" s="54"/>
      <c r="D16" s="55" t="s">
        <v>103</v>
      </c>
      <c r="E16" s="56" t="s">
        <v>77</v>
      </c>
      <c r="F16" s="39">
        <v>286.7</v>
      </c>
      <c r="G16" s="49">
        <v>20</v>
      </c>
      <c r="H16" s="39">
        <f t="shared" si="5"/>
        <v>5734</v>
      </c>
      <c r="I16" s="39"/>
      <c r="J16" s="39"/>
      <c r="K16" s="39"/>
      <c r="L16" s="40"/>
      <c r="M16" s="39">
        <f t="shared" si="0"/>
        <v>5734</v>
      </c>
      <c r="N16" s="39">
        <f t="shared" si="1"/>
        <v>5734</v>
      </c>
      <c r="O16" s="41">
        <f t="shared" si="1"/>
        <v>5734</v>
      </c>
      <c r="P16" s="39">
        <f t="shared" si="6"/>
        <v>860.1</v>
      </c>
      <c r="Q16" s="39">
        <f t="shared" si="2"/>
        <v>43.521059999999999</v>
      </c>
      <c r="R16" s="53"/>
      <c r="S16" s="39"/>
      <c r="T16" s="39"/>
      <c r="U16" s="39"/>
      <c r="V16" s="39">
        <f t="shared" si="3"/>
        <v>903.62106000000006</v>
      </c>
      <c r="W16" s="39"/>
      <c r="X16" s="43">
        <f t="shared" si="4"/>
        <v>4830.3789399999996</v>
      </c>
      <c r="Y16" s="40"/>
    </row>
    <row r="17" spans="1:27" s="44" customFormat="1" ht="39.950000000000003" customHeight="1" x14ac:dyDescent="0.25">
      <c r="A17" s="35">
        <v>7</v>
      </c>
      <c r="B17" s="45" t="s">
        <v>96</v>
      </c>
      <c r="C17" s="54"/>
      <c r="D17" s="55" t="s">
        <v>87</v>
      </c>
      <c r="E17" s="56" t="s">
        <v>77</v>
      </c>
      <c r="F17" s="39">
        <v>286.7</v>
      </c>
      <c r="G17" s="49">
        <v>20</v>
      </c>
      <c r="H17" s="39">
        <f t="shared" si="5"/>
        <v>5734</v>
      </c>
      <c r="I17" s="39"/>
      <c r="J17" s="39"/>
      <c r="K17" s="39"/>
      <c r="L17" s="40"/>
      <c r="M17" s="39">
        <f t="shared" si="0"/>
        <v>5734</v>
      </c>
      <c r="N17" s="39">
        <f t="shared" si="1"/>
        <v>5734</v>
      </c>
      <c r="O17" s="41">
        <f t="shared" si="1"/>
        <v>5734</v>
      </c>
      <c r="P17" s="39">
        <f t="shared" si="6"/>
        <v>860.1</v>
      </c>
      <c r="Q17" s="39">
        <f t="shared" si="2"/>
        <v>43.521059999999999</v>
      </c>
      <c r="R17" s="53"/>
      <c r="S17" s="39"/>
      <c r="T17" s="39"/>
      <c r="U17" s="39"/>
      <c r="V17" s="39">
        <f t="shared" si="3"/>
        <v>903.62106000000006</v>
      </c>
      <c r="W17" s="39"/>
      <c r="X17" s="43">
        <f t="shared" si="4"/>
        <v>4830.3789399999996</v>
      </c>
      <c r="Y17" s="40"/>
    </row>
    <row r="18" spans="1:27" s="44" customFormat="1" ht="39.950000000000003" customHeight="1" x14ac:dyDescent="0.25">
      <c r="A18" s="35">
        <v>8</v>
      </c>
      <c r="B18" s="45" t="s">
        <v>97</v>
      </c>
      <c r="C18" s="54"/>
      <c r="D18" s="55" t="s">
        <v>104</v>
      </c>
      <c r="E18" s="56" t="s">
        <v>77</v>
      </c>
      <c r="F18" s="39">
        <v>286.7</v>
      </c>
      <c r="G18" s="49">
        <v>20</v>
      </c>
      <c r="H18" s="39">
        <f t="shared" si="5"/>
        <v>5734</v>
      </c>
      <c r="I18" s="39"/>
      <c r="J18" s="39"/>
      <c r="K18" s="39"/>
      <c r="L18" s="40"/>
      <c r="M18" s="39">
        <f t="shared" si="0"/>
        <v>5734</v>
      </c>
      <c r="N18" s="39">
        <f t="shared" si="1"/>
        <v>5734</v>
      </c>
      <c r="O18" s="41">
        <f t="shared" si="1"/>
        <v>5734</v>
      </c>
      <c r="P18" s="39">
        <f t="shared" si="6"/>
        <v>860.1</v>
      </c>
      <c r="Q18" s="39">
        <f t="shared" si="2"/>
        <v>43.521059999999999</v>
      </c>
      <c r="R18" s="53"/>
      <c r="S18" s="39"/>
      <c r="T18" s="39"/>
      <c r="U18" s="39"/>
      <c r="V18" s="39">
        <f t="shared" si="3"/>
        <v>903.62106000000006</v>
      </c>
      <c r="W18" s="39"/>
      <c r="X18" s="43">
        <f t="shared" si="4"/>
        <v>4830.3789399999996</v>
      </c>
      <c r="Y18" s="40"/>
    </row>
    <row r="19" spans="1:27" s="44" customFormat="1" ht="39.950000000000003" customHeight="1" x14ac:dyDescent="0.25">
      <c r="A19" s="35">
        <v>9</v>
      </c>
      <c r="B19" s="45" t="s">
        <v>98</v>
      </c>
      <c r="C19" s="54"/>
      <c r="D19" s="55" t="s">
        <v>105</v>
      </c>
      <c r="E19" s="56" t="s">
        <v>35</v>
      </c>
      <c r="F19" s="39">
        <v>286.7</v>
      </c>
      <c r="G19" s="49">
        <v>40</v>
      </c>
      <c r="H19" s="61">
        <f t="shared" si="5"/>
        <v>11468</v>
      </c>
      <c r="I19" s="39">
        <f t="shared" ref="I19:I23" si="7">H19</f>
        <v>11468</v>
      </c>
      <c r="J19" s="39"/>
      <c r="K19" s="39"/>
      <c r="L19" s="40"/>
      <c r="M19" s="39">
        <f>H19+J19+K19+L19</f>
        <v>11468</v>
      </c>
      <c r="N19" s="39">
        <f t="shared" si="1"/>
        <v>11468</v>
      </c>
      <c r="O19" s="41">
        <f t="shared" si="1"/>
        <v>11468</v>
      </c>
      <c r="P19" s="39">
        <f>(N19*15/100)</f>
        <v>1720.2</v>
      </c>
      <c r="Q19" s="39">
        <f t="shared" si="2"/>
        <v>87.042119999999997</v>
      </c>
      <c r="R19" s="39">
        <f>(I19*14/100)</f>
        <v>1605.52</v>
      </c>
      <c r="S19" s="39">
        <f>K19+R19</f>
        <v>1605.52</v>
      </c>
      <c r="T19" s="39">
        <f>(I19*1/100)</f>
        <v>114.68</v>
      </c>
      <c r="U19" s="39">
        <f>J19+T19</f>
        <v>114.68</v>
      </c>
      <c r="V19" s="39">
        <f t="shared" si="3"/>
        <v>3527.4421200000002</v>
      </c>
      <c r="W19" s="39">
        <f t="shared" ref="W19:W27" si="8">V19</f>
        <v>3527.4421200000002</v>
      </c>
      <c r="X19" s="43">
        <f>M19-V19+W19</f>
        <v>11468</v>
      </c>
      <c r="Y19" s="40"/>
    </row>
    <row r="20" spans="1:27" s="44" customFormat="1" ht="39.950000000000003" customHeight="1" x14ac:dyDescent="0.25">
      <c r="A20" s="35">
        <v>10</v>
      </c>
      <c r="B20" s="45" t="s">
        <v>99</v>
      </c>
      <c r="C20" s="54"/>
      <c r="D20" s="55" t="s">
        <v>106</v>
      </c>
      <c r="E20" s="56" t="s">
        <v>35</v>
      </c>
      <c r="F20" s="39">
        <v>286.7</v>
      </c>
      <c r="G20" s="49">
        <v>40</v>
      </c>
      <c r="H20" s="61">
        <f t="shared" si="5"/>
        <v>11468</v>
      </c>
      <c r="I20" s="39">
        <f t="shared" si="7"/>
        <v>11468</v>
      </c>
      <c r="J20" s="39"/>
      <c r="K20" s="39"/>
      <c r="L20" s="40"/>
      <c r="M20" s="39">
        <f t="shared" ref="M20:M23" si="9">H20+J20+K20+L20</f>
        <v>11468</v>
      </c>
      <c r="N20" s="39">
        <f t="shared" si="1"/>
        <v>11468</v>
      </c>
      <c r="O20" s="41">
        <f t="shared" si="1"/>
        <v>11468</v>
      </c>
      <c r="P20" s="39">
        <f t="shared" ref="P20:P23" si="10">(N20*15/100)</f>
        <v>1720.2</v>
      </c>
      <c r="Q20" s="39">
        <f t="shared" si="2"/>
        <v>87.042119999999997</v>
      </c>
      <c r="R20" s="39">
        <f t="shared" ref="R20:R23" si="11">(I20*14/100)</f>
        <v>1605.52</v>
      </c>
      <c r="S20" s="39">
        <f t="shared" ref="S20:S23" si="12">K20+R20</f>
        <v>1605.52</v>
      </c>
      <c r="T20" s="39">
        <f t="shared" ref="T20:T23" si="13">(I20*1/100)</f>
        <v>114.68</v>
      </c>
      <c r="U20" s="39">
        <f t="shared" ref="U20:U23" si="14">J20+T20</f>
        <v>114.68</v>
      </c>
      <c r="V20" s="39">
        <f t="shared" si="3"/>
        <v>3527.4421200000002</v>
      </c>
      <c r="W20" s="39">
        <f t="shared" si="8"/>
        <v>3527.4421200000002</v>
      </c>
      <c r="X20" s="43">
        <f t="shared" ref="X20:X23" si="15">M20-V20+W20</f>
        <v>11468</v>
      </c>
      <c r="Y20" s="40"/>
    </row>
    <row r="21" spans="1:27" s="44" customFormat="1" ht="39.950000000000003" customHeight="1" x14ac:dyDescent="0.25">
      <c r="A21" s="35">
        <v>11</v>
      </c>
      <c r="B21" s="45" t="s">
        <v>100</v>
      </c>
      <c r="C21" s="54"/>
      <c r="D21" s="55" t="s">
        <v>107</v>
      </c>
      <c r="E21" s="56" t="s">
        <v>35</v>
      </c>
      <c r="F21" s="39">
        <v>286.7</v>
      </c>
      <c r="G21" s="49">
        <v>12</v>
      </c>
      <c r="H21" s="61">
        <f t="shared" si="5"/>
        <v>3440.3999999999996</v>
      </c>
      <c r="I21" s="39">
        <f t="shared" si="7"/>
        <v>3440.3999999999996</v>
      </c>
      <c r="J21" s="39"/>
      <c r="K21" s="39"/>
      <c r="L21" s="40"/>
      <c r="M21" s="39">
        <f t="shared" si="9"/>
        <v>3440.3999999999996</v>
      </c>
      <c r="N21" s="39">
        <f t="shared" si="1"/>
        <v>3440.3999999999996</v>
      </c>
      <c r="O21" s="41">
        <f t="shared" si="1"/>
        <v>3440.3999999999996</v>
      </c>
      <c r="P21" s="39">
        <f t="shared" si="10"/>
        <v>516.05999999999995</v>
      </c>
      <c r="Q21" s="39">
        <f t="shared" si="2"/>
        <v>26.112635999999995</v>
      </c>
      <c r="R21" s="39">
        <f t="shared" si="11"/>
        <v>481.65599999999989</v>
      </c>
      <c r="S21" s="39">
        <f t="shared" si="12"/>
        <v>481.65599999999989</v>
      </c>
      <c r="T21" s="39">
        <f t="shared" si="13"/>
        <v>34.403999999999996</v>
      </c>
      <c r="U21" s="39">
        <f t="shared" si="14"/>
        <v>34.403999999999996</v>
      </c>
      <c r="V21" s="39">
        <f t="shared" si="3"/>
        <v>1058.2326359999997</v>
      </c>
      <c r="W21" s="39">
        <f t="shared" si="8"/>
        <v>1058.2326359999997</v>
      </c>
      <c r="X21" s="43">
        <f t="shared" si="15"/>
        <v>3440.3999999999996</v>
      </c>
      <c r="Y21" s="40"/>
    </row>
    <row r="22" spans="1:27" s="44" customFormat="1" ht="39.950000000000003" customHeight="1" x14ac:dyDescent="0.25">
      <c r="A22" s="35">
        <v>12</v>
      </c>
      <c r="B22" s="45"/>
      <c r="C22" s="54"/>
      <c r="D22" s="55" t="s">
        <v>108</v>
      </c>
      <c r="E22" s="56" t="s">
        <v>35</v>
      </c>
      <c r="F22" s="39">
        <v>286.7</v>
      </c>
      <c r="G22" s="49">
        <v>8</v>
      </c>
      <c r="H22" s="61">
        <f t="shared" si="5"/>
        <v>2293.6</v>
      </c>
      <c r="I22" s="39">
        <f t="shared" si="7"/>
        <v>2293.6</v>
      </c>
      <c r="J22" s="39"/>
      <c r="K22" s="39"/>
      <c r="L22" s="40"/>
      <c r="M22" s="39">
        <f t="shared" si="9"/>
        <v>2293.6</v>
      </c>
      <c r="N22" s="39">
        <f t="shared" si="1"/>
        <v>2293.6</v>
      </c>
      <c r="O22" s="41">
        <f t="shared" si="1"/>
        <v>2293.6</v>
      </c>
      <c r="P22" s="39">
        <f t="shared" si="10"/>
        <v>344.04</v>
      </c>
      <c r="Q22" s="39">
        <f t="shared" si="2"/>
        <v>17.408424</v>
      </c>
      <c r="R22" s="39">
        <f t="shared" si="11"/>
        <v>321.10399999999998</v>
      </c>
      <c r="S22" s="39">
        <f t="shared" si="12"/>
        <v>321.10399999999998</v>
      </c>
      <c r="T22" s="39">
        <f t="shared" si="13"/>
        <v>22.936</v>
      </c>
      <c r="U22" s="39">
        <f t="shared" si="14"/>
        <v>22.936</v>
      </c>
      <c r="V22" s="39">
        <f t="shared" si="3"/>
        <v>705.48842400000001</v>
      </c>
      <c r="W22" s="39">
        <f t="shared" si="8"/>
        <v>705.48842400000001</v>
      </c>
      <c r="X22" s="43">
        <f t="shared" si="15"/>
        <v>2293.6</v>
      </c>
      <c r="Y22" s="40"/>
    </row>
    <row r="23" spans="1:27" s="44" customFormat="1" ht="39.950000000000003" customHeight="1" x14ac:dyDescent="0.25">
      <c r="A23" s="35">
        <v>13</v>
      </c>
      <c r="B23" s="45"/>
      <c r="C23" s="54"/>
      <c r="D23" s="55" t="s">
        <v>109</v>
      </c>
      <c r="E23" s="56" t="s">
        <v>35</v>
      </c>
      <c r="F23" s="39">
        <v>286.7</v>
      </c>
      <c r="G23" s="49">
        <v>20</v>
      </c>
      <c r="H23" s="61">
        <f t="shared" si="5"/>
        <v>5734</v>
      </c>
      <c r="I23" s="39">
        <f t="shared" si="7"/>
        <v>5734</v>
      </c>
      <c r="J23" s="39"/>
      <c r="K23" s="39"/>
      <c r="L23" s="40"/>
      <c r="M23" s="39">
        <f t="shared" si="9"/>
        <v>5734</v>
      </c>
      <c r="N23" s="39">
        <f t="shared" si="1"/>
        <v>5734</v>
      </c>
      <c r="O23" s="41">
        <f t="shared" si="1"/>
        <v>5734</v>
      </c>
      <c r="P23" s="39">
        <f t="shared" si="10"/>
        <v>860.1</v>
      </c>
      <c r="Q23" s="39">
        <f t="shared" si="2"/>
        <v>43.521059999999999</v>
      </c>
      <c r="R23" s="39">
        <f t="shared" si="11"/>
        <v>802.76</v>
      </c>
      <c r="S23" s="39">
        <f t="shared" si="12"/>
        <v>802.76</v>
      </c>
      <c r="T23" s="39">
        <f t="shared" si="13"/>
        <v>57.34</v>
      </c>
      <c r="U23" s="39">
        <f t="shared" si="14"/>
        <v>57.34</v>
      </c>
      <c r="V23" s="39">
        <f t="shared" si="3"/>
        <v>1763.7210600000001</v>
      </c>
      <c r="W23" s="39">
        <f t="shared" si="8"/>
        <v>1763.7210600000001</v>
      </c>
      <c r="X23" s="43">
        <f t="shared" si="15"/>
        <v>5734</v>
      </c>
      <c r="Y23" s="40"/>
    </row>
    <row r="24" spans="1:27" s="44" customFormat="1" ht="39.950000000000003" customHeight="1" x14ac:dyDescent="0.25">
      <c r="A24" s="35">
        <v>14</v>
      </c>
      <c r="B24" s="45"/>
      <c r="C24" s="57"/>
      <c r="D24" s="60" t="s">
        <v>88</v>
      </c>
      <c r="E24" s="56" t="s">
        <v>79</v>
      </c>
      <c r="F24" s="61">
        <v>2522.98</v>
      </c>
      <c r="G24" s="49">
        <v>0</v>
      </c>
      <c r="H24" s="61">
        <v>2522.98</v>
      </c>
      <c r="I24" s="39"/>
      <c r="J24" s="39"/>
      <c r="K24" s="39"/>
      <c r="L24" s="40"/>
      <c r="M24" s="39">
        <f>H24+J24+K24+L24</f>
        <v>2522.98</v>
      </c>
      <c r="N24" s="39">
        <f t="shared" si="1"/>
        <v>2522.98</v>
      </c>
      <c r="O24" s="41">
        <f t="shared" si="1"/>
        <v>2522.98</v>
      </c>
      <c r="P24" s="39">
        <f>(N24*15/100)</f>
        <v>378.44699999999995</v>
      </c>
      <c r="Q24" s="39">
        <f t="shared" si="2"/>
        <v>19.1494182</v>
      </c>
      <c r="R24" s="39"/>
      <c r="S24" s="39"/>
      <c r="T24" s="39"/>
      <c r="U24" s="39"/>
      <c r="V24" s="39">
        <f t="shared" si="3"/>
        <v>397.59641819999996</v>
      </c>
      <c r="W24" s="39">
        <f>V24/2</f>
        <v>198.79820909999998</v>
      </c>
      <c r="X24" s="43">
        <f t="shared" si="4"/>
        <v>2324.1817909000001</v>
      </c>
      <c r="Y24" s="45"/>
      <c r="Z24" s="59"/>
      <c r="AA24" s="52"/>
    </row>
    <row r="25" spans="1:27" s="44" customFormat="1" ht="39.950000000000003" customHeight="1" x14ac:dyDescent="0.25">
      <c r="A25" s="35">
        <v>15</v>
      </c>
      <c r="B25" s="45"/>
      <c r="C25" s="62"/>
      <c r="D25" s="58" t="s">
        <v>89</v>
      </c>
      <c r="E25" s="56" t="s">
        <v>80</v>
      </c>
      <c r="F25" s="61">
        <v>5045.96</v>
      </c>
      <c r="G25" s="49">
        <v>0</v>
      </c>
      <c r="H25" s="61">
        <v>5045.96</v>
      </c>
      <c r="I25" s="39"/>
      <c r="J25" s="39"/>
      <c r="K25" s="39"/>
      <c r="L25" s="40"/>
      <c r="M25" s="39">
        <f t="shared" ref="M25:M27" si="16">H25+J25+K25+L25</f>
        <v>5045.96</v>
      </c>
      <c r="N25" s="39">
        <f t="shared" si="1"/>
        <v>5045.96</v>
      </c>
      <c r="O25" s="41">
        <f t="shared" si="1"/>
        <v>5045.96</v>
      </c>
      <c r="P25" s="39">
        <f>(N25*20/100)</f>
        <v>1009.192</v>
      </c>
      <c r="Q25" s="39">
        <f t="shared" si="2"/>
        <v>38.298836399999999</v>
      </c>
      <c r="R25" s="39"/>
      <c r="S25" s="39"/>
      <c r="T25" s="39"/>
      <c r="U25" s="39"/>
      <c r="V25" s="39">
        <f t="shared" si="3"/>
        <v>1047.4908364</v>
      </c>
      <c r="W25" s="39">
        <f t="shared" si="8"/>
        <v>1047.4908364</v>
      </c>
      <c r="X25" s="43">
        <f t="shared" si="4"/>
        <v>5045.96</v>
      </c>
      <c r="Y25" s="45"/>
      <c r="Z25" s="59"/>
    </row>
    <row r="26" spans="1:27" s="44" customFormat="1" ht="39.950000000000003" customHeight="1" x14ac:dyDescent="0.25">
      <c r="A26" s="35">
        <v>50</v>
      </c>
      <c r="B26" s="45"/>
      <c r="C26" s="62"/>
      <c r="D26" s="60"/>
      <c r="E26" s="56"/>
      <c r="F26" s="61"/>
      <c r="G26" s="49">
        <v>0</v>
      </c>
      <c r="H26" s="61"/>
      <c r="I26" s="39">
        <f t="shared" ref="I26:I27" si="17">H26</f>
        <v>0</v>
      </c>
      <c r="J26" s="39"/>
      <c r="K26" s="39"/>
      <c r="L26" s="40"/>
      <c r="M26" s="39">
        <f t="shared" si="16"/>
        <v>0</v>
      </c>
      <c r="N26" s="39">
        <f t="shared" si="1"/>
        <v>0</v>
      </c>
      <c r="O26" s="41">
        <f t="shared" si="1"/>
        <v>0</v>
      </c>
      <c r="P26" s="39">
        <f t="shared" ref="P26:P27" si="18">(N26*15/100)</f>
        <v>0</v>
      </c>
      <c r="Q26" s="39">
        <f t="shared" si="2"/>
        <v>0</v>
      </c>
      <c r="R26" s="39"/>
      <c r="S26" s="39"/>
      <c r="T26" s="39"/>
      <c r="U26" s="39"/>
      <c r="V26" s="39">
        <f t="shared" si="3"/>
        <v>0</v>
      </c>
      <c r="W26" s="39">
        <f t="shared" si="8"/>
        <v>0</v>
      </c>
      <c r="X26" s="43">
        <f t="shared" si="4"/>
        <v>0</v>
      </c>
      <c r="Y26" s="45"/>
      <c r="Z26" s="59"/>
    </row>
    <row r="27" spans="1:27" s="44" customFormat="1" ht="39.950000000000003" customHeight="1" x14ac:dyDescent="0.25">
      <c r="A27" s="35">
        <v>51</v>
      </c>
      <c r="B27" s="45"/>
      <c r="C27" s="62"/>
      <c r="D27" s="60"/>
      <c r="E27" s="56"/>
      <c r="F27" s="61"/>
      <c r="G27" s="49">
        <v>0</v>
      </c>
      <c r="H27" s="61"/>
      <c r="I27" s="39">
        <f t="shared" si="17"/>
        <v>0</v>
      </c>
      <c r="J27" s="39"/>
      <c r="K27" s="39"/>
      <c r="L27" s="40"/>
      <c r="M27" s="39">
        <f t="shared" si="16"/>
        <v>0</v>
      </c>
      <c r="N27" s="39">
        <f t="shared" si="1"/>
        <v>0</v>
      </c>
      <c r="O27" s="41">
        <f t="shared" si="1"/>
        <v>0</v>
      </c>
      <c r="P27" s="39">
        <f t="shared" si="18"/>
        <v>0</v>
      </c>
      <c r="Q27" s="39">
        <f t="shared" si="2"/>
        <v>0</v>
      </c>
      <c r="R27" s="39"/>
      <c r="S27" s="39"/>
      <c r="T27" s="39"/>
      <c r="U27" s="39"/>
      <c r="V27" s="39">
        <f t="shared" si="3"/>
        <v>0</v>
      </c>
      <c r="W27" s="39">
        <f t="shared" si="8"/>
        <v>0</v>
      </c>
      <c r="X27" s="43">
        <f t="shared" si="4"/>
        <v>0</v>
      </c>
      <c r="Y27" s="45"/>
      <c r="Z27" s="59"/>
    </row>
    <row r="28" spans="1:27" s="44" customFormat="1" ht="39.950000000000003" customHeight="1" x14ac:dyDescent="0.25">
      <c r="A28" s="45"/>
      <c r="B28" s="45"/>
      <c r="C28" s="49" t="s">
        <v>39</v>
      </c>
      <c r="D28" s="49"/>
      <c r="E28" s="49"/>
      <c r="F28" s="63"/>
      <c r="G28" s="63">
        <f t="shared" ref="G28:M28" si="19">SUM(G12:G27)</f>
        <v>220</v>
      </c>
      <c r="H28" s="63">
        <f t="shared" si="19"/>
        <v>85780.84</v>
      </c>
      <c r="I28" s="63">
        <f t="shared" si="19"/>
        <v>34404</v>
      </c>
      <c r="J28" s="63">
        <f t="shared" si="19"/>
        <v>0</v>
      </c>
      <c r="K28" s="63">
        <f t="shared" si="19"/>
        <v>0</v>
      </c>
      <c r="L28" s="63">
        <f t="shared" si="19"/>
        <v>0</v>
      </c>
      <c r="M28" s="63">
        <f t="shared" si="19"/>
        <v>85780.84</v>
      </c>
      <c r="N28" s="63"/>
      <c r="O28" s="63"/>
      <c r="P28" s="63">
        <f t="shared" ref="P28:W28" si="20">SUM(P12:P27)</f>
        <v>13876.319000000003</v>
      </c>
      <c r="Q28" s="63">
        <f t="shared" si="20"/>
        <v>651.07657560000007</v>
      </c>
      <c r="R28" s="63">
        <f t="shared" si="20"/>
        <v>4816.5599999999995</v>
      </c>
      <c r="S28" s="63">
        <f t="shared" si="20"/>
        <v>4816.5599999999995</v>
      </c>
      <c r="T28" s="63">
        <f t="shared" si="20"/>
        <v>344.03999999999996</v>
      </c>
      <c r="U28" s="63">
        <f t="shared" si="20"/>
        <v>344.03999999999996</v>
      </c>
      <c r="V28" s="63">
        <f t="shared" si="20"/>
        <v>19687.995575599998</v>
      </c>
      <c r="W28" s="63">
        <f t="shared" si="20"/>
        <v>11828.615405499999</v>
      </c>
      <c r="X28" s="63">
        <f>SUM(X12:X27)</f>
        <v>77921.459829900006</v>
      </c>
      <c r="Y28" s="64"/>
    </row>
    <row r="29" spans="1:27" s="44" customFormat="1" ht="24.95" customHeight="1" x14ac:dyDescent="0.2">
      <c r="A29" s="59"/>
      <c r="B29" s="59"/>
      <c r="C29" s="65"/>
      <c r="D29" s="66"/>
      <c r="E29" s="67"/>
      <c r="F29" s="52"/>
      <c r="G29" s="68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8"/>
      <c r="Y29" s="66"/>
    </row>
    <row r="30" spans="1:27" s="66" customFormat="1" ht="24.95" customHeight="1" x14ac:dyDescent="0.25">
      <c r="C30" s="59"/>
      <c r="D30" s="59"/>
      <c r="E30" s="59" t="s">
        <v>114</v>
      </c>
      <c r="F30" s="68"/>
      <c r="G30" s="59"/>
      <c r="H30" s="59"/>
      <c r="I30" s="59"/>
      <c r="J30" s="59"/>
      <c r="K30" s="59"/>
      <c r="L30" s="59"/>
      <c r="M30" s="181"/>
      <c r="N30" s="150"/>
      <c r="O30" s="52">
        <f>X28</f>
        <v>77921.459829900006</v>
      </c>
      <c r="P30" s="59" t="s">
        <v>81</v>
      </c>
      <c r="Q30" s="59"/>
      <c r="R30" s="59"/>
      <c r="S30" s="59"/>
      <c r="T30" s="59"/>
      <c r="U30" s="59"/>
      <c r="V30" s="59"/>
      <c r="W30" s="59"/>
      <c r="X30" s="52"/>
      <c r="Y30" s="59"/>
    </row>
    <row r="31" spans="1:27" s="44" customFormat="1" ht="24.95" customHeight="1" x14ac:dyDescent="0.2">
      <c r="A31" s="59"/>
      <c r="B31" s="59"/>
      <c r="C31" s="59"/>
      <c r="D31" s="59"/>
      <c r="E31" s="59" t="s">
        <v>82</v>
      </c>
      <c r="F31" s="52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</row>
    <row r="32" spans="1:27" s="44" customFormat="1" ht="24.95" customHeight="1" x14ac:dyDescent="0.2">
      <c r="A32" s="59"/>
      <c r="B32" s="59"/>
      <c r="C32" s="59"/>
      <c r="D32" s="59"/>
      <c r="E32" s="59" t="s">
        <v>83</v>
      </c>
      <c r="F32" s="52" t="s">
        <v>90</v>
      </c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</row>
    <row r="33" spans="1:25" s="44" customFormat="1" ht="24.95" customHeight="1" x14ac:dyDescent="0.2">
      <c r="A33" s="59"/>
      <c r="B33" s="59"/>
      <c r="C33" s="59"/>
      <c r="D33" s="59"/>
      <c r="E33" s="59" t="s">
        <v>84</v>
      </c>
      <c r="F33" s="52"/>
      <c r="G33" s="59"/>
      <c r="H33" s="59"/>
      <c r="I33" s="59"/>
      <c r="J33" s="174"/>
      <c r="K33" s="182"/>
      <c r="L33" s="182"/>
      <c r="M33" s="182"/>
      <c r="N33" s="59"/>
      <c r="O33" s="59"/>
      <c r="P33" s="59"/>
      <c r="Q33" s="59"/>
      <c r="R33" s="59"/>
      <c r="S33" s="174" t="s">
        <v>91</v>
      </c>
      <c r="T33" s="174"/>
      <c r="U33" s="174"/>
      <c r="V33" s="174"/>
      <c r="W33" s="69"/>
      <c r="X33" s="59"/>
      <c r="Y33" s="59"/>
    </row>
    <row r="34" spans="1:25" s="44" customFormat="1" ht="24.95" customHeight="1" x14ac:dyDescent="0.2">
      <c r="A34" s="59"/>
      <c r="B34" s="59"/>
      <c r="C34" s="65"/>
      <c r="D34" s="65"/>
      <c r="E34" s="59"/>
      <c r="F34" s="52"/>
      <c r="G34" s="59"/>
      <c r="H34" s="59"/>
      <c r="I34" s="59"/>
      <c r="J34" s="174" t="s">
        <v>33</v>
      </c>
      <c r="K34" s="175"/>
      <c r="L34" s="174"/>
      <c r="M34" s="174"/>
      <c r="N34" s="59"/>
      <c r="O34" s="59"/>
      <c r="P34" s="59"/>
      <c r="Q34" s="59"/>
      <c r="R34" s="59"/>
      <c r="S34" s="174" t="s">
        <v>75</v>
      </c>
      <c r="T34" s="174"/>
      <c r="U34" s="174"/>
      <c r="V34" s="174"/>
      <c r="W34" s="69"/>
      <c r="X34" s="59"/>
      <c r="Y34" s="59"/>
    </row>
  </sheetData>
  <mergeCells count="33">
    <mergeCell ref="E2:Q2"/>
    <mergeCell ref="A7:A11"/>
    <mergeCell ref="B7:E8"/>
    <mergeCell ref="F7:I8"/>
    <mergeCell ref="J7:J11"/>
    <mergeCell ref="K7:K11"/>
    <mergeCell ref="M7:M11"/>
    <mergeCell ref="N7:N11"/>
    <mergeCell ref="O7:O11"/>
    <mergeCell ref="P7:U8"/>
    <mergeCell ref="W7:W11"/>
    <mergeCell ref="X7:X11"/>
    <mergeCell ref="Y7:Y11"/>
    <mergeCell ref="B9:B11"/>
    <mergeCell ref="C9:C11"/>
    <mergeCell ref="E9:E11"/>
    <mergeCell ref="F9:F11"/>
    <mergeCell ref="G9:G11"/>
    <mergeCell ref="H9:H11"/>
    <mergeCell ref="J34:M34"/>
    <mergeCell ref="S34:V34"/>
    <mergeCell ref="I9:I11"/>
    <mergeCell ref="L9:L11"/>
    <mergeCell ref="P9:P11"/>
    <mergeCell ref="Q9:Q11"/>
    <mergeCell ref="R9:R11"/>
    <mergeCell ref="S9:S11"/>
    <mergeCell ref="V7:V11"/>
    <mergeCell ref="T9:T11"/>
    <mergeCell ref="U9:U11"/>
    <mergeCell ref="M30:N30"/>
    <mergeCell ref="J33:M33"/>
    <mergeCell ref="S33:V33"/>
  </mergeCells>
  <pageMargins left="0.7" right="0.7" top="0.75" bottom="0.75" header="0.3" footer="0.3"/>
  <pageSetup paperSize="9" scale="41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962-B0C2-48D6-9D96-E419089FC67B}">
  <sheetPr>
    <pageSetUpPr fitToPage="1"/>
  </sheetPr>
  <dimension ref="A1:AA34"/>
  <sheetViews>
    <sheetView view="pageBreakPreview" zoomScale="60" zoomScaleNormal="69" workbookViewId="0">
      <selection activeCell="P12" sqref="P12"/>
    </sheetView>
  </sheetViews>
  <sheetFormatPr defaultColWidth="3.140625" defaultRowHeight="15" x14ac:dyDescent="0.25"/>
  <cols>
    <col min="1" max="1" width="4.42578125" customWidth="1"/>
    <col min="2" max="2" width="7.42578125" customWidth="1"/>
    <col min="3" max="3" width="6.7109375" customWidth="1"/>
    <col min="4" max="4" width="26.42578125" customWidth="1"/>
    <col min="5" max="5" width="17.5703125" customWidth="1"/>
    <col min="6" max="6" width="13" style="70" bestFit="1" customWidth="1"/>
    <col min="7" max="7" width="11.28515625" customWidth="1"/>
    <col min="8" max="8" width="14.28515625" customWidth="1"/>
    <col min="9" max="9" width="14.85546875" customWidth="1"/>
    <col min="10" max="10" width="8.5703125" hidden="1" customWidth="1"/>
    <col min="11" max="11" width="11" hidden="1" customWidth="1"/>
    <col min="12" max="12" width="13.140625" customWidth="1"/>
    <col min="13" max="13" width="14.7109375" bestFit="1" customWidth="1"/>
    <col min="14" max="14" width="13.7109375" customWidth="1"/>
    <col min="15" max="15" width="16.28515625" bestFit="1" customWidth="1"/>
    <col min="16" max="16" width="14.85546875" customWidth="1"/>
    <col min="17" max="17" width="12.140625" customWidth="1"/>
    <col min="18" max="18" width="13.85546875" customWidth="1"/>
    <col min="19" max="19" width="14" customWidth="1"/>
    <col min="20" max="20" width="11.85546875" customWidth="1"/>
    <col min="21" max="21" width="10.7109375" customWidth="1"/>
    <col min="22" max="22" width="15.85546875" customWidth="1"/>
    <col min="23" max="23" width="14.7109375" customWidth="1"/>
    <col min="24" max="24" width="14.85546875" customWidth="1"/>
    <col min="25" max="25" width="22.42578125" customWidth="1"/>
    <col min="26" max="26" width="2.85546875" customWidth="1"/>
    <col min="27" max="27" width="12.140625" bestFit="1" customWidth="1"/>
    <col min="28" max="239" width="9.140625" customWidth="1"/>
    <col min="240" max="240" width="4.42578125" customWidth="1"/>
    <col min="241" max="241" width="21.5703125" customWidth="1"/>
    <col min="242" max="242" width="17.28515625" customWidth="1"/>
    <col min="243" max="243" width="16.42578125" customWidth="1"/>
    <col min="244" max="244" width="9.85546875" customWidth="1"/>
    <col min="245" max="245" width="9.140625" customWidth="1"/>
    <col min="246" max="246" width="14.28515625" customWidth="1"/>
    <col min="247" max="247" width="8.42578125" customWidth="1"/>
    <col min="248" max="248" width="6.7109375" customWidth="1"/>
    <col min="249" max="249" width="7.42578125" customWidth="1"/>
    <col min="257" max="257" width="4.42578125" customWidth="1"/>
    <col min="258" max="258" width="7.42578125" customWidth="1"/>
    <col min="259" max="259" width="6.7109375" customWidth="1"/>
    <col min="260" max="260" width="26.42578125" customWidth="1"/>
    <col min="261" max="261" width="17.5703125" customWidth="1"/>
    <col min="262" max="262" width="13" bestFit="1" customWidth="1"/>
    <col min="263" max="263" width="11.28515625" customWidth="1"/>
    <col min="264" max="264" width="14.28515625" customWidth="1"/>
    <col min="265" max="265" width="12.7109375" customWidth="1"/>
    <col min="266" max="267" width="0" hidden="1" customWidth="1"/>
    <col min="268" max="268" width="8.5703125" customWidth="1"/>
    <col min="269" max="269" width="14.7109375" bestFit="1" customWidth="1"/>
    <col min="270" max="270" width="13.7109375" customWidth="1"/>
    <col min="271" max="271" width="16.28515625" bestFit="1" customWidth="1"/>
    <col min="272" max="272" width="14.85546875" customWidth="1"/>
    <col min="273" max="273" width="12.140625" customWidth="1"/>
    <col min="274" max="275" width="11.42578125" bestFit="1" customWidth="1"/>
    <col min="276" max="277" width="9.7109375" customWidth="1"/>
    <col min="278" max="278" width="15.85546875" customWidth="1"/>
    <col min="279" max="279" width="14.7109375" customWidth="1"/>
    <col min="280" max="280" width="14.85546875" customWidth="1"/>
    <col min="281" max="281" width="22.42578125" customWidth="1"/>
    <col min="282" max="282" width="2.85546875" customWidth="1"/>
    <col min="283" max="283" width="12.140625" bestFit="1" customWidth="1"/>
    <col min="284" max="495" width="9.140625" customWidth="1"/>
    <col min="496" max="496" width="4.42578125" customWidth="1"/>
    <col min="497" max="497" width="21.5703125" customWidth="1"/>
    <col min="498" max="498" width="17.28515625" customWidth="1"/>
    <col min="499" max="499" width="16.42578125" customWidth="1"/>
    <col min="500" max="500" width="9.85546875" customWidth="1"/>
    <col min="501" max="501" width="9.140625" customWidth="1"/>
    <col min="502" max="502" width="14.28515625" customWidth="1"/>
    <col min="503" max="503" width="8.42578125" customWidth="1"/>
    <col min="504" max="504" width="6.7109375" customWidth="1"/>
    <col min="505" max="505" width="7.42578125" customWidth="1"/>
    <col min="513" max="513" width="4.42578125" customWidth="1"/>
    <col min="514" max="514" width="7.42578125" customWidth="1"/>
    <col min="515" max="515" width="6.7109375" customWidth="1"/>
    <col min="516" max="516" width="26.42578125" customWidth="1"/>
    <col min="517" max="517" width="17.5703125" customWidth="1"/>
    <col min="518" max="518" width="13" bestFit="1" customWidth="1"/>
    <col min="519" max="519" width="11.28515625" customWidth="1"/>
    <col min="520" max="520" width="14.28515625" customWidth="1"/>
    <col min="521" max="521" width="12.7109375" customWidth="1"/>
    <col min="522" max="523" width="0" hidden="1" customWidth="1"/>
    <col min="524" max="524" width="8.5703125" customWidth="1"/>
    <col min="525" max="525" width="14.7109375" bestFit="1" customWidth="1"/>
    <col min="526" max="526" width="13.7109375" customWidth="1"/>
    <col min="527" max="527" width="16.28515625" bestFit="1" customWidth="1"/>
    <col min="528" max="528" width="14.85546875" customWidth="1"/>
    <col min="529" max="529" width="12.140625" customWidth="1"/>
    <col min="530" max="531" width="11.42578125" bestFit="1" customWidth="1"/>
    <col min="532" max="533" width="9.7109375" customWidth="1"/>
    <col min="534" max="534" width="15.85546875" customWidth="1"/>
    <col min="535" max="535" width="14.7109375" customWidth="1"/>
    <col min="536" max="536" width="14.85546875" customWidth="1"/>
    <col min="537" max="537" width="22.42578125" customWidth="1"/>
    <col min="538" max="538" width="2.85546875" customWidth="1"/>
    <col min="539" max="539" width="12.140625" bestFit="1" customWidth="1"/>
    <col min="540" max="751" width="9.140625" customWidth="1"/>
    <col min="752" max="752" width="4.42578125" customWidth="1"/>
    <col min="753" max="753" width="21.5703125" customWidth="1"/>
    <col min="754" max="754" width="17.28515625" customWidth="1"/>
    <col min="755" max="755" width="16.42578125" customWidth="1"/>
    <col min="756" max="756" width="9.85546875" customWidth="1"/>
    <col min="757" max="757" width="9.140625" customWidth="1"/>
    <col min="758" max="758" width="14.28515625" customWidth="1"/>
    <col min="759" max="759" width="8.42578125" customWidth="1"/>
    <col min="760" max="760" width="6.7109375" customWidth="1"/>
    <col min="761" max="761" width="7.42578125" customWidth="1"/>
    <col min="769" max="769" width="4.42578125" customWidth="1"/>
    <col min="770" max="770" width="7.42578125" customWidth="1"/>
    <col min="771" max="771" width="6.7109375" customWidth="1"/>
    <col min="772" max="772" width="26.42578125" customWidth="1"/>
    <col min="773" max="773" width="17.5703125" customWidth="1"/>
    <col min="774" max="774" width="13" bestFit="1" customWidth="1"/>
    <col min="775" max="775" width="11.28515625" customWidth="1"/>
    <col min="776" max="776" width="14.28515625" customWidth="1"/>
    <col min="777" max="777" width="12.7109375" customWidth="1"/>
    <col min="778" max="779" width="0" hidden="1" customWidth="1"/>
    <col min="780" max="780" width="8.5703125" customWidth="1"/>
    <col min="781" max="781" width="14.7109375" bestFit="1" customWidth="1"/>
    <col min="782" max="782" width="13.7109375" customWidth="1"/>
    <col min="783" max="783" width="16.28515625" bestFit="1" customWidth="1"/>
    <col min="784" max="784" width="14.85546875" customWidth="1"/>
    <col min="785" max="785" width="12.140625" customWidth="1"/>
    <col min="786" max="787" width="11.42578125" bestFit="1" customWidth="1"/>
    <col min="788" max="789" width="9.7109375" customWidth="1"/>
    <col min="790" max="790" width="15.85546875" customWidth="1"/>
    <col min="791" max="791" width="14.7109375" customWidth="1"/>
    <col min="792" max="792" width="14.85546875" customWidth="1"/>
    <col min="793" max="793" width="22.42578125" customWidth="1"/>
    <col min="794" max="794" width="2.85546875" customWidth="1"/>
    <col min="795" max="795" width="12.140625" bestFit="1" customWidth="1"/>
    <col min="796" max="1007" width="9.140625" customWidth="1"/>
    <col min="1008" max="1008" width="4.42578125" customWidth="1"/>
    <col min="1009" max="1009" width="21.5703125" customWidth="1"/>
    <col min="1010" max="1010" width="17.28515625" customWidth="1"/>
    <col min="1011" max="1011" width="16.42578125" customWidth="1"/>
    <col min="1012" max="1012" width="9.85546875" customWidth="1"/>
    <col min="1013" max="1013" width="9.140625" customWidth="1"/>
    <col min="1014" max="1014" width="14.28515625" customWidth="1"/>
    <col min="1015" max="1015" width="8.42578125" customWidth="1"/>
    <col min="1016" max="1016" width="6.7109375" customWidth="1"/>
    <col min="1017" max="1017" width="7.42578125" customWidth="1"/>
    <col min="1025" max="1025" width="4.42578125" customWidth="1"/>
    <col min="1026" max="1026" width="7.42578125" customWidth="1"/>
    <col min="1027" max="1027" width="6.7109375" customWidth="1"/>
    <col min="1028" max="1028" width="26.42578125" customWidth="1"/>
    <col min="1029" max="1029" width="17.5703125" customWidth="1"/>
    <col min="1030" max="1030" width="13" bestFit="1" customWidth="1"/>
    <col min="1031" max="1031" width="11.28515625" customWidth="1"/>
    <col min="1032" max="1032" width="14.28515625" customWidth="1"/>
    <col min="1033" max="1033" width="12.7109375" customWidth="1"/>
    <col min="1034" max="1035" width="0" hidden="1" customWidth="1"/>
    <col min="1036" max="1036" width="8.5703125" customWidth="1"/>
    <col min="1037" max="1037" width="14.7109375" bestFit="1" customWidth="1"/>
    <col min="1038" max="1038" width="13.7109375" customWidth="1"/>
    <col min="1039" max="1039" width="16.28515625" bestFit="1" customWidth="1"/>
    <col min="1040" max="1040" width="14.85546875" customWidth="1"/>
    <col min="1041" max="1041" width="12.140625" customWidth="1"/>
    <col min="1042" max="1043" width="11.42578125" bestFit="1" customWidth="1"/>
    <col min="1044" max="1045" width="9.7109375" customWidth="1"/>
    <col min="1046" max="1046" width="15.85546875" customWidth="1"/>
    <col min="1047" max="1047" width="14.7109375" customWidth="1"/>
    <col min="1048" max="1048" width="14.85546875" customWidth="1"/>
    <col min="1049" max="1049" width="22.42578125" customWidth="1"/>
    <col min="1050" max="1050" width="2.85546875" customWidth="1"/>
    <col min="1051" max="1051" width="12.140625" bestFit="1" customWidth="1"/>
    <col min="1052" max="1263" width="9.140625" customWidth="1"/>
    <col min="1264" max="1264" width="4.42578125" customWidth="1"/>
    <col min="1265" max="1265" width="21.5703125" customWidth="1"/>
    <col min="1266" max="1266" width="17.28515625" customWidth="1"/>
    <col min="1267" max="1267" width="16.42578125" customWidth="1"/>
    <col min="1268" max="1268" width="9.85546875" customWidth="1"/>
    <col min="1269" max="1269" width="9.140625" customWidth="1"/>
    <col min="1270" max="1270" width="14.28515625" customWidth="1"/>
    <col min="1271" max="1271" width="8.42578125" customWidth="1"/>
    <col min="1272" max="1272" width="6.7109375" customWidth="1"/>
    <col min="1273" max="1273" width="7.42578125" customWidth="1"/>
    <col min="1281" max="1281" width="4.42578125" customWidth="1"/>
    <col min="1282" max="1282" width="7.42578125" customWidth="1"/>
    <col min="1283" max="1283" width="6.7109375" customWidth="1"/>
    <col min="1284" max="1284" width="26.42578125" customWidth="1"/>
    <col min="1285" max="1285" width="17.5703125" customWidth="1"/>
    <col min="1286" max="1286" width="13" bestFit="1" customWidth="1"/>
    <col min="1287" max="1287" width="11.28515625" customWidth="1"/>
    <col min="1288" max="1288" width="14.28515625" customWidth="1"/>
    <col min="1289" max="1289" width="12.7109375" customWidth="1"/>
    <col min="1290" max="1291" width="0" hidden="1" customWidth="1"/>
    <col min="1292" max="1292" width="8.5703125" customWidth="1"/>
    <col min="1293" max="1293" width="14.7109375" bestFit="1" customWidth="1"/>
    <col min="1294" max="1294" width="13.7109375" customWidth="1"/>
    <col min="1295" max="1295" width="16.28515625" bestFit="1" customWidth="1"/>
    <col min="1296" max="1296" width="14.85546875" customWidth="1"/>
    <col min="1297" max="1297" width="12.140625" customWidth="1"/>
    <col min="1298" max="1299" width="11.42578125" bestFit="1" customWidth="1"/>
    <col min="1300" max="1301" width="9.7109375" customWidth="1"/>
    <col min="1302" max="1302" width="15.85546875" customWidth="1"/>
    <col min="1303" max="1303" width="14.7109375" customWidth="1"/>
    <col min="1304" max="1304" width="14.85546875" customWidth="1"/>
    <col min="1305" max="1305" width="22.42578125" customWidth="1"/>
    <col min="1306" max="1306" width="2.85546875" customWidth="1"/>
    <col min="1307" max="1307" width="12.140625" bestFit="1" customWidth="1"/>
    <col min="1308" max="1519" width="9.140625" customWidth="1"/>
    <col min="1520" max="1520" width="4.42578125" customWidth="1"/>
    <col min="1521" max="1521" width="21.5703125" customWidth="1"/>
    <col min="1522" max="1522" width="17.28515625" customWidth="1"/>
    <col min="1523" max="1523" width="16.42578125" customWidth="1"/>
    <col min="1524" max="1524" width="9.85546875" customWidth="1"/>
    <col min="1525" max="1525" width="9.140625" customWidth="1"/>
    <col min="1526" max="1526" width="14.28515625" customWidth="1"/>
    <col min="1527" max="1527" width="8.42578125" customWidth="1"/>
    <col min="1528" max="1528" width="6.7109375" customWidth="1"/>
    <col min="1529" max="1529" width="7.42578125" customWidth="1"/>
    <col min="1537" max="1537" width="4.42578125" customWidth="1"/>
    <col min="1538" max="1538" width="7.42578125" customWidth="1"/>
    <col min="1539" max="1539" width="6.7109375" customWidth="1"/>
    <col min="1540" max="1540" width="26.42578125" customWidth="1"/>
    <col min="1541" max="1541" width="17.5703125" customWidth="1"/>
    <col min="1542" max="1542" width="13" bestFit="1" customWidth="1"/>
    <col min="1543" max="1543" width="11.28515625" customWidth="1"/>
    <col min="1544" max="1544" width="14.28515625" customWidth="1"/>
    <col min="1545" max="1545" width="12.7109375" customWidth="1"/>
    <col min="1546" max="1547" width="0" hidden="1" customWidth="1"/>
    <col min="1548" max="1548" width="8.5703125" customWidth="1"/>
    <col min="1549" max="1549" width="14.7109375" bestFit="1" customWidth="1"/>
    <col min="1550" max="1550" width="13.7109375" customWidth="1"/>
    <col min="1551" max="1551" width="16.28515625" bestFit="1" customWidth="1"/>
    <col min="1552" max="1552" width="14.85546875" customWidth="1"/>
    <col min="1553" max="1553" width="12.140625" customWidth="1"/>
    <col min="1554" max="1555" width="11.42578125" bestFit="1" customWidth="1"/>
    <col min="1556" max="1557" width="9.7109375" customWidth="1"/>
    <col min="1558" max="1558" width="15.85546875" customWidth="1"/>
    <col min="1559" max="1559" width="14.7109375" customWidth="1"/>
    <col min="1560" max="1560" width="14.85546875" customWidth="1"/>
    <col min="1561" max="1561" width="22.42578125" customWidth="1"/>
    <col min="1562" max="1562" width="2.85546875" customWidth="1"/>
    <col min="1563" max="1563" width="12.140625" bestFit="1" customWidth="1"/>
    <col min="1564" max="1775" width="9.140625" customWidth="1"/>
    <col min="1776" max="1776" width="4.42578125" customWidth="1"/>
    <col min="1777" max="1777" width="21.5703125" customWidth="1"/>
    <col min="1778" max="1778" width="17.28515625" customWidth="1"/>
    <col min="1779" max="1779" width="16.42578125" customWidth="1"/>
    <col min="1780" max="1780" width="9.85546875" customWidth="1"/>
    <col min="1781" max="1781" width="9.140625" customWidth="1"/>
    <col min="1782" max="1782" width="14.28515625" customWidth="1"/>
    <col min="1783" max="1783" width="8.42578125" customWidth="1"/>
    <col min="1784" max="1784" width="6.7109375" customWidth="1"/>
    <col min="1785" max="1785" width="7.42578125" customWidth="1"/>
    <col min="1793" max="1793" width="4.42578125" customWidth="1"/>
    <col min="1794" max="1794" width="7.42578125" customWidth="1"/>
    <col min="1795" max="1795" width="6.7109375" customWidth="1"/>
    <col min="1796" max="1796" width="26.42578125" customWidth="1"/>
    <col min="1797" max="1797" width="17.5703125" customWidth="1"/>
    <col min="1798" max="1798" width="13" bestFit="1" customWidth="1"/>
    <col min="1799" max="1799" width="11.28515625" customWidth="1"/>
    <col min="1800" max="1800" width="14.28515625" customWidth="1"/>
    <col min="1801" max="1801" width="12.7109375" customWidth="1"/>
    <col min="1802" max="1803" width="0" hidden="1" customWidth="1"/>
    <col min="1804" max="1804" width="8.5703125" customWidth="1"/>
    <col min="1805" max="1805" width="14.7109375" bestFit="1" customWidth="1"/>
    <col min="1806" max="1806" width="13.7109375" customWidth="1"/>
    <col min="1807" max="1807" width="16.28515625" bestFit="1" customWidth="1"/>
    <col min="1808" max="1808" width="14.85546875" customWidth="1"/>
    <col min="1809" max="1809" width="12.140625" customWidth="1"/>
    <col min="1810" max="1811" width="11.42578125" bestFit="1" customWidth="1"/>
    <col min="1812" max="1813" width="9.7109375" customWidth="1"/>
    <col min="1814" max="1814" width="15.85546875" customWidth="1"/>
    <col min="1815" max="1815" width="14.7109375" customWidth="1"/>
    <col min="1816" max="1816" width="14.85546875" customWidth="1"/>
    <col min="1817" max="1817" width="22.42578125" customWidth="1"/>
    <col min="1818" max="1818" width="2.85546875" customWidth="1"/>
    <col min="1819" max="1819" width="12.140625" bestFit="1" customWidth="1"/>
    <col min="1820" max="2031" width="9.140625" customWidth="1"/>
    <col min="2032" max="2032" width="4.42578125" customWidth="1"/>
    <col min="2033" max="2033" width="21.5703125" customWidth="1"/>
    <col min="2034" max="2034" width="17.28515625" customWidth="1"/>
    <col min="2035" max="2035" width="16.42578125" customWidth="1"/>
    <col min="2036" max="2036" width="9.85546875" customWidth="1"/>
    <col min="2037" max="2037" width="9.140625" customWidth="1"/>
    <col min="2038" max="2038" width="14.28515625" customWidth="1"/>
    <col min="2039" max="2039" width="8.42578125" customWidth="1"/>
    <col min="2040" max="2040" width="6.7109375" customWidth="1"/>
    <col min="2041" max="2041" width="7.42578125" customWidth="1"/>
    <col min="2049" max="2049" width="4.42578125" customWidth="1"/>
    <col min="2050" max="2050" width="7.42578125" customWidth="1"/>
    <col min="2051" max="2051" width="6.7109375" customWidth="1"/>
    <col min="2052" max="2052" width="26.42578125" customWidth="1"/>
    <col min="2053" max="2053" width="17.5703125" customWidth="1"/>
    <col min="2054" max="2054" width="13" bestFit="1" customWidth="1"/>
    <col min="2055" max="2055" width="11.28515625" customWidth="1"/>
    <col min="2056" max="2056" width="14.28515625" customWidth="1"/>
    <col min="2057" max="2057" width="12.7109375" customWidth="1"/>
    <col min="2058" max="2059" width="0" hidden="1" customWidth="1"/>
    <col min="2060" max="2060" width="8.5703125" customWidth="1"/>
    <col min="2061" max="2061" width="14.7109375" bestFit="1" customWidth="1"/>
    <col min="2062" max="2062" width="13.7109375" customWidth="1"/>
    <col min="2063" max="2063" width="16.28515625" bestFit="1" customWidth="1"/>
    <col min="2064" max="2064" width="14.85546875" customWidth="1"/>
    <col min="2065" max="2065" width="12.140625" customWidth="1"/>
    <col min="2066" max="2067" width="11.42578125" bestFit="1" customWidth="1"/>
    <col min="2068" max="2069" width="9.7109375" customWidth="1"/>
    <col min="2070" max="2070" width="15.85546875" customWidth="1"/>
    <col min="2071" max="2071" width="14.7109375" customWidth="1"/>
    <col min="2072" max="2072" width="14.85546875" customWidth="1"/>
    <col min="2073" max="2073" width="22.42578125" customWidth="1"/>
    <col min="2074" max="2074" width="2.85546875" customWidth="1"/>
    <col min="2075" max="2075" width="12.140625" bestFit="1" customWidth="1"/>
    <col min="2076" max="2287" width="9.140625" customWidth="1"/>
    <col min="2288" max="2288" width="4.42578125" customWidth="1"/>
    <col min="2289" max="2289" width="21.5703125" customWidth="1"/>
    <col min="2290" max="2290" width="17.28515625" customWidth="1"/>
    <col min="2291" max="2291" width="16.42578125" customWidth="1"/>
    <col min="2292" max="2292" width="9.85546875" customWidth="1"/>
    <col min="2293" max="2293" width="9.140625" customWidth="1"/>
    <col min="2294" max="2294" width="14.28515625" customWidth="1"/>
    <col min="2295" max="2295" width="8.42578125" customWidth="1"/>
    <col min="2296" max="2296" width="6.7109375" customWidth="1"/>
    <col min="2297" max="2297" width="7.42578125" customWidth="1"/>
    <col min="2305" max="2305" width="4.42578125" customWidth="1"/>
    <col min="2306" max="2306" width="7.42578125" customWidth="1"/>
    <col min="2307" max="2307" width="6.7109375" customWidth="1"/>
    <col min="2308" max="2308" width="26.42578125" customWidth="1"/>
    <col min="2309" max="2309" width="17.5703125" customWidth="1"/>
    <col min="2310" max="2310" width="13" bestFit="1" customWidth="1"/>
    <col min="2311" max="2311" width="11.28515625" customWidth="1"/>
    <col min="2312" max="2312" width="14.28515625" customWidth="1"/>
    <col min="2313" max="2313" width="12.7109375" customWidth="1"/>
    <col min="2314" max="2315" width="0" hidden="1" customWidth="1"/>
    <col min="2316" max="2316" width="8.5703125" customWidth="1"/>
    <col min="2317" max="2317" width="14.7109375" bestFit="1" customWidth="1"/>
    <col min="2318" max="2318" width="13.7109375" customWidth="1"/>
    <col min="2319" max="2319" width="16.28515625" bestFit="1" customWidth="1"/>
    <col min="2320" max="2320" width="14.85546875" customWidth="1"/>
    <col min="2321" max="2321" width="12.140625" customWidth="1"/>
    <col min="2322" max="2323" width="11.42578125" bestFit="1" customWidth="1"/>
    <col min="2324" max="2325" width="9.7109375" customWidth="1"/>
    <col min="2326" max="2326" width="15.85546875" customWidth="1"/>
    <col min="2327" max="2327" width="14.7109375" customWidth="1"/>
    <col min="2328" max="2328" width="14.85546875" customWidth="1"/>
    <col min="2329" max="2329" width="22.42578125" customWidth="1"/>
    <col min="2330" max="2330" width="2.85546875" customWidth="1"/>
    <col min="2331" max="2331" width="12.140625" bestFit="1" customWidth="1"/>
    <col min="2332" max="2543" width="9.140625" customWidth="1"/>
    <col min="2544" max="2544" width="4.42578125" customWidth="1"/>
    <col min="2545" max="2545" width="21.5703125" customWidth="1"/>
    <col min="2546" max="2546" width="17.28515625" customWidth="1"/>
    <col min="2547" max="2547" width="16.42578125" customWidth="1"/>
    <col min="2548" max="2548" width="9.85546875" customWidth="1"/>
    <col min="2549" max="2549" width="9.140625" customWidth="1"/>
    <col min="2550" max="2550" width="14.28515625" customWidth="1"/>
    <col min="2551" max="2551" width="8.42578125" customWidth="1"/>
    <col min="2552" max="2552" width="6.7109375" customWidth="1"/>
    <col min="2553" max="2553" width="7.42578125" customWidth="1"/>
    <col min="2561" max="2561" width="4.42578125" customWidth="1"/>
    <col min="2562" max="2562" width="7.42578125" customWidth="1"/>
    <col min="2563" max="2563" width="6.7109375" customWidth="1"/>
    <col min="2564" max="2564" width="26.42578125" customWidth="1"/>
    <col min="2565" max="2565" width="17.5703125" customWidth="1"/>
    <col min="2566" max="2566" width="13" bestFit="1" customWidth="1"/>
    <col min="2567" max="2567" width="11.28515625" customWidth="1"/>
    <col min="2568" max="2568" width="14.28515625" customWidth="1"/>
    <col min="2569" max="2569" width="12.7109375" customWidth="1"/>
    <col min="2570" max="2571" width="0" hidden="1" customWidth="1"/>
    <col min="2572" max="2572" width="8.5703125" customWidth="1"/>
    <col min="2573" max="2573" width="14.7109375" bestFit="1" customWidth="1"/>
    <col min="2574" max="2574" width="13.7109375" customWidth="1"/>
    <col min="2575" max="2575" width="16.28515625" bestFit="1" customWidth="1"/>
    <col min="2576" max="2576" width="14.85546875" customWidth="1"/>
    <col min="2577" max="2577" width="12.140625" customWidth="1"/>
    <col min="2578" max="2579" width="11.42578125" bestFit="1" customWidth="1"/>
    <col min="2580" max="2581" width="9.7109375" customWidth="1"/>
    <col min="2582" max="2582" width="15.85546875" customWidth="1"/>
    <col min="2583" max="2583" width="14.7109375" customWidth="1"/>
    <col min="2584" max="2584" width="14.85546875" customWidth="1"/>
    <col min="2585" max="2585" width="22.42578125" customWidth="1"/>
    <col min="2586" max="2586" width="2.85546875" customWidth="1"/>
    <col min="2587" max="2587" width="12.140625" bestFit="1" customWidth="1"/>
    <col min="2588" max="2799" width="9.140625" customWidth="1"/>
    <col min="2800" max="2800" width="4.42578125" customWidth="1"/>
    <col min="2801" max="2801" width="21.5703125" customWidth="1"/>
    <col min="2802" max="2802" width="17.28515625" customWidth="1"/>
    <col min="2803" max="2803" width="16.42578125" customWidth="1"/>
    <col min="2804" max="2804" width="9.85546875" customWidth="1"/>
    <col min="2805" max="2805" width="9.140625" customWidth="1"/>
    <col min="2806" max="2806" width="14.28515625" customWidth="1"/>
    <col min="2807" max="2807" width="8.42578125" customWidth="1"/>
    <col min="2808" max="2808" width="6.7109375" customWidth="1"/>
    <col min="2809" max="2809" width="7.42578125" customWidth="1"/>
    <col min="2817" max="2817" width="4.42578125" customWidth="1"/>
    <col min="2818" max="2818" width="7.42578125" customWidth="1"/>
    <col min="2819" max="2819" width="6.7109375" customWidth="1"/>
    <col min="2820" max="2820" width="26.42578125" customWidth="1"/>
    <col min="2821" max="2821" width="17.5703125" customWidth="1"/>
    <col min="2822" max="2822" width="13" bestFit="1" customWidth="1"/>
    <col min="2823" max="2823" width="11.28515625" customWidth="1"/>
    <col min="2824" max="2824" width="14.28515625" customWidth="1"/>
    <col min="2825" max="2825" width="12.7109375" customWidth="1"/>
    <col min="2826" max="2827" width="0" hidden="1" customWidth="1"/>
    <col min="2828" max="2828" width="8.5703125" customWidth="1"/>
    <col min="2829" max="2829" width="14.7109375" bestFit="1" customWidth="1"/>
    <col min="2830" max="2830" width="13.7109375" customWidth="1"/>
    <col min="2831" max="2831" width="16.28515625" bestFit="1" customWidth="1"/>
    <col min="2832" max="2832" width="14.85546875" customWidth="1"/>
    <col min="2833" max="2833" width="12.140625" customWidth="1"/>
    <col min="2834" max="2835" width="11.42578125" bestFit="1" customWidth="1"/>
    <col min="2836" max="2837" width="9.7109375" customWidth="1"/>
    <col min="2838" max="2838" width="15.85546875" customWidth="1"/>
    <col min="2839" max="2839" width="14.7109375" customWidth="1"/>
    <col min="2840" max="2840" width="14.85546875" customWidth="1"/>
    <col min="2841" max="2841" width="22.42578125" customWidth="1"/>
    <col min="2842" max="2842" width="2.85546875" customWidth="1"/>
    <col min="2843" max="2843" width="12.140625" bestFit="1" customWidth="1"/>
    <col min="2844" max="3055" width="9.140625" customWidth="1"/>
    <col min="3056" max="3056" width="4.42578125" customWidth="1"/>
    <col min="3057" max="3057" width="21.5703125" customWidth="1"/>
    <col min="3058" max="3058" width="17.28515625" customWidth="1"/>
    <col min="3059" max="3059" width="16.42578125" customWidth="1"/>
    <col min="3060" max="3060" width="9.85546875" customWidth="1"/>
    <col min="3061" max="3061" width="9.140625" customWidth="1"/>
    <col min="3062" max="3062" width="14.28515625" customWidth="1"/>
    <col min="3063" max="3063" width="8.42578125" customWidth="1"/>
    <col min="3064" max="3064" width="6.7109375" customWidth="1"/>
    <col min="3065" max="3065" width="7.42578125" customWidth="1"/>
    <col min="3073" max="3073" width="4.42578125" customWidth="1"/>
    <col min="3074" max="3074" width="7.42578125" customWidth="1"/>
    <col min="3075" max="3075" width="6.7109375" customWidth="1"/>
    <col min="3076" max="3076" width="26.42578125" customWidth="1"/>
    <col min="3077" max="3077" width="17.5703125" customWidth="1"/>
    <col min="3078" max="3078" width="13" bestFit="1" customWidth="1"/>
    <col min="3079" max="3079" width="11.28515625" customWidth="1"/>
    <col min="3080" max="3080" width="14.28515625" customWidth="1"/>
    <col min="3081" max="3081" width="12.7109375" customWidth="1"/>
    <col min="3082" max="3083" width="0" hidden="1" customWidth="1"/>
    <col min="3084" max="3084" width="8.5703125" customWidth="1"/>
    <col min="3085" max="3085" width="14.7109375" bestFit="1" customWidth="1"/>
    <col min="3086" max="3086" width="13.7109375" customWidth="1"/>
    <col min="3087" max="3087" width="16.28515625" bestFit="1" customWidth="1"/>
    <col min="3088" max="3088" width="14.85546875" customWidth="1"/>
    <col min="3089" max="3089" width="12.140625" customWidth="1"/>
    <col min="3090" max="3091" width="11.42578125" bestFit="1" customWidth="1"/>
    <col min="3092" max="3093" width="9.7109375" customWidth="1"/>
    <col min="3094" max="3094" width="15.85546875" customWidth="1"/>
    <col min="3095" max="3095" width="14.7109375" customWidth="1"/>
    <col min="3096" max="3096" width="14.85546875" customWidth="1"/>
    <col min="3097" max="3097" width="22.42578125" customWidth="1"/>
    <col min="3098" max="3098" width="2.85546875" customWidth="1"/>
    <col min="3099" max="3099" width="12.140625" bestFit="1" customWidth="1"/>
    <col min="3100" max="3311" width="9.140625" customWidth="1"/>
    <col min="3312" max="3312" width="4.42578125" customWidth="1"/>
    <col min="3313" max="3313" width="21.5703125" customWidth="1"/>
    <col min="3314" max="3314" width="17.28515625" customWidth="1"/>
    <col min="3315" max="3315" width="16.42578125" customWidth="1"/>
    <col min="3316" max="3316" width="9.85546875" customWidth="1"/>
    <col min="3317" max="3317" width="9.140625" customWidth="1"/>
    <col min="3318" max="3318" width="14.28515625" customWidth="1"/>
    <col min="3319" max="3319" width="8.42578125" customWidth="1"/>
    <col min="3320" max="3320" width="6.7109375" customWidth="1"/>
    <col min="3321" max="3321" width="7.42578125" customWidth="1"/>
    <col min="3329" max="3329" width="4.42578125" customWidth="1"/>
    <col min="3330" max="3330" width="7.42578125" customWidth="1"/>
    <col min="3331" max="3331" width="6.7109375" customWidth="1"/>
    <col min="3332" max="3332" width="26.42578125" customWidth="1"/>
    <col min="3333" max="3333" width="17.5703125" customWidth="1"/>
    <col min="3334" max="3334" width="13" bestFit="1" customWidth="1"/>
    <col min="3335" max="3335" width="11.28515625" customWidth="1"/>
    <col min="3336" max="3336" width="14.28515625" customWidth="1"/>
    <col min="3337" max="3337" width="12.7109375" customWidth="1"/>
    <col min="3338" max="3339" width="0" hidden="1" customWidth="1"/>
    <col min="3340" max="3340" width="8.5703125" customWidth="1"/>
    <col min="3341" max="3341" width="14.7109375" bestFit="1" customWidth="1"/>
    <col min="3342" max="3342" width="13.7109375" customWidth="1"/>
    <col min="3343" max="3343" width="16.28515625" bestFit="1" customWidth="1"/>
    <col min="3344" max="3344" width="14.85546875" customWidth="1"/>
    <col min="3345" max="3345" width="12.140625" customWidth="1"/>
    <col min="3346" max="3347" width="11.42578125" bestFit="1" customWidth="1"/>
    <col min="3348" max="3349" width="9.7109375" customWidth="1"/>
    <col min="3350" max="3350" width="15.85546875" customWidth="1"/>
    <col min="3351" max="3351" width="14.7109375" customWidth="1"/>
    <col min="3352" max="3352" width="14.85546875" customWidth="1"/>
    <col min="3353" max="3353" width="22.42578125" customWidth="1"/>
    <col min="3354" max="3354" width="2.85546875" customWidth="1"/>
    <col min="3355" max="3355" width="12.140625" bestFit="1" customWidth="1"/>
    <col min="3356" max="3567" width="9.140625" customWidth="1"/>
    <col min="3568" max="3568" width="4.42578125" customWidth="1"/>
    <col min="3569" max="3569" width="21.5703125" customWidth="1"/>
    <col min="3570" max="3570" width="17.28515625" customWidth="1"/>
    <col min="3571" max="3571" width="16.42578125" customWidth="1"/>
    <col min="3572" max="3572" width="9.85546875" customWidth="1"/>
    <col min="3573" max="3573" width="9.140625" customWidth="1"/>
    <col min="3574" max="3574" width="14.28515625" customWidth="1"/>
    <col min="3575" max="3575" width="8.42578125" customWidth="1"/>
    <col min="3576" max="3576" width="6.7109375" customWidth="1"/>
    <col min="3577" max="3577" width="7.42578125" customWidth="1"/>
    <col min="3585" max="3585" width="4.42578125" customWidth="1"/>
    <col min="3586" max="3586" width="7.42578125" customWidth="1"/>
    <col min="3587" max="3587" width="6.7109375" customWidth="1"/>
    <col min="3588" max="3588" width="26.42578125" customWidth="1"/>
    <col min="3589" max="3589" width="17.5703125" customWidth="1"/>
    <col min="3590" max="3590" width="13" bestFit="1" customWidth="1"/>
    <col min="3591" max="3591" width="11.28515625" customWidth="1"/>
    <col min="3592" max="3592" width="14.28515625" customWidth="1"/>
    <col min="3593" max="3593" width="12.7109375" customWidth="1"/>
    <col min="3594" max="3595" width="0" hidden="1" customWidth="1"/>
    <col min="3596" max="3596" width="8.5703125" customWidth="1"/>
    <col min="3597" max="3597" width="14.7109375" bestFit="1" customWidth="1"/>
    <col min="3598" max="3598" width="13.7109375" customWidth="1"/>
    <col min="3599" max="3599" width="16.28515625" bestFit="1" customWidth="1"/>
    <col min="3600" max="3600" width="14.85546875" customWidth="1"/>
    <col min="3601" max="3601" width="12.140625" customWidth="1"/>
    <col min="3602" max="3603" width="11.42578125" bestFit="1" customWidth="1"/>
    <col min="3604" max="3605" width="9.7109375" customWidth="1"/>
    <col min="3606" max="3606" width="15.85546875" customWidth="1"/>
    <col min="3607" max="3607" width="14.7109375" customWidth="1"/>
    <col min="3608" max="3608" width="14.85546875" customWidth="1"/>
    <col min="3609" max="3609" width="22.42578125" customWidth="1"/>
    <col min="3610" max="3610" width="2.85546875" customWidth="1"/>
    <col min="3611" max="3611" width="12.140625" bestFit="1" customWidth="1"/>
    <col min="3612" max="3823" width="9.140625" customWidth="1"/>
    <col min="3824" max="3824" width="4.42578125" customWidth="1"/>
    <col min="3825" max="3825" width="21.5703125" customWidth="1"/>
    <col min="3826" max="3826" width="17.28515625" customWidth="1"/>
    <col min="3827" max="3827" width="16.42578125" customWidth="1"/>
    <col min="3828" max="3828" width="9.85546875" customWidth="1"/>
    <col min="3829" max="3829" width="9.140625" customWidth="1"/>
    <col min="3830" max="3830" width="14.28515625" customWidth="1"/>
    <col min="3831" max="3831" width="8.42578125" customWidth="1"/>
    <col min="3832" max="3832" width="6.7109375" customWidth="1"/>
    <col min="3833" max="3833" width="7.42578125" customWidth="1"/>
    <col min="3841" max="3841" width="4.42578125" customWidth="1"/>
    <col min="3842" max="3842" width="7.42578125" customWidth="1"/>
    <col min="3843" max="3843" width="6.7109375" customWidth="1"/>
    <col min="3844" max="3844" width="26.42578125" customWidth="1"/>
    <col min="3845" max="3845" width="17.5703125" customWidth="1"/>
    <col min="3846" max="3846" width="13" bestFit="1" customWidth="1"/>
    <col min="3847" max="3847" width="11.28515625" customWidth="1"/>
    <col min="3848" max="3848" width="14.28515625" customWidth="1"/>
    <col min="3849" max="3849" width="12.7109375" customWidth="1"/>
    <col min="3850" max="3851" width="0" hidden="1" customWidth="1"/>
    <col min="3852" max="3852" width="8.5703125" customWidth="1"/>
    <col min="3853" max="3853" width="14.7109375" bestFit="1" customWidth="1"/>
    <col min="3854" max="3854" width="13.7109375" customWidth="1"/>
    <col min="3855" max="3855" width="16.28515625" bestFit="1" customWidth="1"/>
    <col min="3856" max="3856" width="14.85546875" customWidth="1"/>
    <col min="3857" max="3857" width="12.140625" customWidth="1"/>
    <col min="3858" max="3859" width="11.42578125" bestFit="1" customWidth="1"/>
    <col min="3860" max="3861" width="9.7109375" customWidth="1"/>
    <col min="3862" max="3862" width="15.85546875" customWidth="1"/>
    <col min="3863" max="3863" width="14.7109375" customWidth="1"/>
    <col min="3864" max="3864" width="14.85546875" customWidth="1"/>
    <col min="3865" max="3865" width="22.42578125" customWidth="1"/>
    <col min="3866" max="3866" width="2.85546875" customWidth="1"/>
    <col min="3867" max="3867" width="12.140625" bestFit="1" customWidth="1"/>
    <col min="3868" max="4079" width="9.140625" customWidth="1"/>
    <col min="4080" max="4080" width="4.42578125" customWidth="1"/>
    <col min="4081" max="4081" width="21.5703125" customWidth="1"/>
    <col min="4082" max="4082" width="17.28515625" customWidth="1"/>
    <col min="4083" max="4083" width="16.42578125" customWidth="1"/>
    <col min="4084" max="4084" width="9.85546875" customWidth="1"/>
    <col min="4085" max="4085" width="9.140625" customWidth="1"/>
    <col min="4086" max="4086" width="14.28515625" customWidth="1"/>
    <col min="4087" max="4087" width="8.42578125" customWidth="1"/>
    <col min="4088" max="4088" width="6.7109375" customWidth="1"/>
    <col min="4089" max="4089" width="7.42578125" customWidth="1"/>
    <col min="4097" max="4097" width="4.42578125" customWidth="1"/>
    <col min="4098" max="4098" width="7.42578125" customWidth="1"/>
    <col min="4099" max="4099" width="6.7109375" customWidth="1"/>
    <col min="4100" max="4100" width="26.42578125" customWidth="1"/>
    <col min="4101" max="4101" width="17.5703125" customWidth="1"/>
    <col min="4102" max="4102" width="13" bestFit="1" customWidth="1"/>
    <col min="4103" max="4103" width="11.28515625" customWidth="1"/>
    <col min="4104" max="4104" width="14.28515625" customWidth="1"/>
    <col min="4105" max="4105" width="12.7109375" customWidth="1"/>
    <col min="4106" max="4107" width="0" hidden="1" customWidth="1"/>
    <col min="4108" max="4108" width="8.5703125" customWidth="1"/>
    <col min="4109" max="4109" width="14.7109375" bestFit="1" customWidth="1"/>
    <col min="4110" max="4110" width="13.7109375" customWidth="1"/>
    <col min="4111" max="4111" width="16.28515625" bestFit="1" customWidth="1"/>
    <col min="4112" max="4112" width="14.85546875" customWidth="1"/>
    <col min="4113" max="4113" width="12.140625" customWidth="1"/>
    <col min="4114" max="4115" width="11.42578125" bestFit="1" customWidth="1"/>
    <col min="4116" max="4117" width="9.7109375" customWidth="1"/>
    <col min="4118" max="4118" width="15.85546875" customWidth="1"/>
    <col min="4119" max="4119" width="14.7109375" customWidth="1"/>
    <col min="4120" max="4120" width="14.85546875" customWidth="1"/>
    <col min="4121" max="4121" width="22.42578125" customWidth="1"/>
    <col min="4122" max="4122" width="2.85546875" customWidth="1"/>
    <col min="4123" max="4123" width="12.140625" bestFit="1" customWidth="1"/>
    <col min="4124" max="4335" width="9.140625" customWidth="1"/>
    <col min="4336" max="4336" width="4.42578125" customWidth="1"/>
    <col min="4337" max="4337" width="21.5703125" customWidth="1"/>
    <col min="4338" max="4338" width="17.28515625" customWidth="1"/>
    <col min="4339" max="4339" width="16.42578125" customWidth="1"/>
    <col min="4340" max="4340" width="9.85546875" customWidth="1"/>
    <col min="4341" max="4341" width="9.140625" customWidth="1"/>
    <col min="4342" max="4342" width="14.28515625" customWidth="1"/>
    <col min="4343" max="4343" width="8.42578125" customWidth="1"/>
    <col min="4344" max="4344" width="6.7109375" customWidth="1"/>
    <col min="4345" max="4345" width="7.42578125" customWidth="1"/>
    <col min="4353" max="4353" width="4.42578125" customWidth="1"/>
    <col min="4354" max="4354" width="7.42578125" customWidth="1"/>
    <col min="4355" max="4355" width="6.7109375" customWidth="1"/>
    <col min="4356" max="4356" width="26.42578125" customWidth="1"/>
    <col min="4357" max="4357" width="17.5703125" customWidth="1"/>
    <col min="4358" max="4358" width="13" bestFit="1" customWidth="1"/>
    <col min="4359" max="4359" width="11.28515625" customWidth="1"/>
    <col min="4360" max="4360" width="14.28515625" customWidth="1"/>
    <col min="4361" max="4361" width="12.7109375" customWidth="1"/>
    <col min="4362" max="4363" width="0" hidden="1" customWidth="1"/>
    <col min="4364" max="4364" width="8.5703125" customWidth="1"/>
    <col min="4365" max="4365" width="14.7109375" bestFit="1" customWidth="1"/>
    <col min="4366" max="4366" width="13.7109375" customWidth="1"/>
    <col min="4367" max="4367" width="16.28515625" bestFit="1" customWidth="1"/>
    <col min="4368" max="4368" width="14.85546875" customWidth="1"/>
    <col min="4369" max="4369" width="12.140625" customWidth="1"/>
    <col min="4370" max="4371" width="11.42578125" bestFit="1" customWidth="1"/>
    <col min="4372" max="4373" width="9.7109375" customWidth="1"/>
    <col min="4374" max="4374" width="15.85546875" customWidth="1"/>
    <col min="4375" max="4375" width="14.7109375" customWidth="1"/>
    <col min="4376" max="4376" width="14.85546875" customWidth="1"/>
    <col min="4377" max="4377" width="22.42578125" customWidth="1"/>
    <col min="4378" max="4378" width="2.85546875" customWidth="1"/>
    <col min="4379" max="4379" width="12.140625" bestFit="1" customWidth="1"/>
    <col min="4380" max="4591" width="9.140625" customWidth="1"/>
    <col min="4592" max="4592" width="4.42578125" customWidth="1"/>
    <col min="4593" max="4593" width="21.5703125" customWidth="1"/>
    <col min="4594" max="4594" width="17.28515625" customWidth="1"/>
    <col min="4595" max="4595" width="16.42578125" customWidth="1"/>
    <col min="4596" max="4596" width="9.85546875" customWidth="1"/>
    <col min="4597" max="4597" width="9.140625" customWidth="1"/>
    <col min="4598" max="4598" width="14.28515625" customWidth="1"/>
    <col min="4599" max="4599" width="8.42578125" customWidth="1"/>
    <col min="4600" max="4600" width="6.7109375" customWidth="1"/>
    <col min="4601" max="4601" width="7.42578125" customWidth="1"/>
    <col min="4609" max="4609" width="4.42578125" customWidth="1"/>
    <col min="4610" max="4610" width="7.42578125" customWidth="1"/>
    <col min="4611" max="4611" width="6.7109375" customWidth="1"/>
    <col min="4612" max="4612" width="26.42578125" customWidth="1"/>
    <col min="4613" max="4613" width="17.5703125" customWidth="1"/>
    <col min="4614" max="4614" width="13" bestFit="1" customWidth="1"/>
    <col min="4615" max="4615" width="11.28515625" customWidth="1"/>
    <col min="4616" max="4616" width="14.28515625" customWidth="1"/>
    <col min="4617" max="4617" width="12.7109375" customWidth="1"/>
    <col min="4618" max="4619" width="0" hidden="1" customWidth="1"/>
    <col min="4620" max="4620" width="8.5703125" customWidth="1"/>
    <col min="4621" max="4621" width="14.7109375" bestFit="1" customWidth="1"/>
    <col min="4622" max="4622" width="13.7109375" customWidth="1"/>
    <col min="4623" max="4623" width="16.28515625" bestFit="1" customWidth="1"/>
    <col min="4624" max="4624" width="14.85546875" customWidth="1"/>
    <col min="4625" max="4625" width="12.140625" customWidth="1"/>
    <col min="4626" max="4627" width="11.42578125" bestFit="1" customWidth="1"/>
    <col min="4628" max="4629" width="9.7109375" customWidth="1"/>
    <col min="4630" max="4630" width="15.85546875" customWidth="1"/>
    <col min="4631" max="4631" width="14.7109375" customWidth="1"/>
    <col min="4632" max="4632" width="14.85546875" customWidth="1"/>
    <col min="4633" max="4633" width="22.42578125" customWidth="1"/>
    <col min="4634" max="4634" width="2.85546875" customWidth="1"/>
    <col min="4635" max="4635" width="12.140625" bestFit="1" customWidth="1"/>
    <col min="4636" max="4847" width="9.140625" customWidth="1"/>
    <col min="4848" max="4848" width="4.42578125" customWidth="1"/>
    <col min="4849" max="4849" width="21.5703125" customWidth="1"/>
    <col min="4850" max="4850" width="17.28515625" customWidth="1"/>
    <col min="4851" max="4851" width="16.42578125" customWidth="1"/>
    <col min="4852" max="4852" width="9.85546875" customWidth="1"/>
    <col min="4853" max="4853" width="9.140625" customWidth="1"/>
    <col min="4854" max="4854" width="14.28515625" customWidth="1"/>
    <col min="4855" max="4855" width="8.42578125" customWidth="1"/>
    <col min="4856" max="4856" width="6.7109375" customWidth="1"/>
    <col min="4857" max="4857" width="7.42578125" customWidth="1"/>
    <col min="4865" max="4865" width="4.42578125" customWidth="1"/>
    <col min="4866" max="4866" width="7.42578125" customWidth="1"/>
    <col min="4867" max="4867" width="6.7109375" customWidth="1"/>
    <col min="4868" max="4868" width="26.42578125" customWidth="1"/>
    <col min="4869" max="4869" width="17.5703125" customWidth="1"/>
    <col min="4870" max="4870" width="13" bestFit="1" customWidth="1"/>
    <col min="4871" max="4871" width="11.28515625" customWidth="1"/>
    <col min="4872" max="4872" width="14.28515625" customWidth="1"/>
    <col min="4873" max="4873" width="12.7109375" customWidth="1"/>
    <col min="4874" max="4875" width="0" hidden="1" customWidth="1"/>
    <col min="4876" max="4876" width="8.5703125" customWidth="1"/>
    <col min="4877" max="4877" width="14.7109375" bestFit="1" customWidth="1"/>
    <col min="4878" max="4878" width="13.7109375" customWidth="1"/>
    <col min="4879" max="4879" width="16.28515625" bestFit="1" customWidth="1"/>
    <col min="4880" max="4880" width="14.85546875" customWidth="1"/>
    <col min="4881" max="4881" width="12.140625" customWidth="1"/>
    <col min="4882" max="4883" width="11.42578125" bestFit="1" customWidth="1"/>
    <col min="4884" max="4885" width="9.7109375" customWidth="1"/>
    <col min="4886" max="4886" width="15.85546875" customWidth="1"/>
    <col min="4887" max="4887" width="14.7109375" customWidth="1"/>
    <col min="4888" max="4888" width="14.85546875" customWidth="1"/>
    <col min="4889" max="4889" width="22.42578125" customWidth="1"/>
    <col min="4890" max="4890" width="2.85546875" customWidth="1"/>
    <col min="4891" max="4891" width="12.140625" bestFit="1" customWidth="1"/>
    <col min="4892" max="5103" width="9.140625" customWidth="1"/>
    <col min="5104" max="5104" width="4.42578125" customWidth="1"/>
    <col min="5105" max="5105" width="21.5703125" customWidth="1"/>
    <col min="5106" max="5106" width="17.28515625" customWidth="1"/>
    <col min="5107" max="5107" width="16.42578125" customWidth="1"/>
    <col min="5108" max="5108" width="9.85546875" customWidth="1"/>
    <col min="5109" max="5109" width="9.140625" customWidth="1"/>
    <col min="5110" max="5110" width="14.28515625" customWidth="1"/>
    <col min="5111" max="5111" width="8.42578125" customWidth="1"/>
    <col min="5112" max="5112" width="6.7109375" customWidth="1"/>
    <col min="5113" max="5113" width="7.42578125" customWidth="1"/>
    <col min="5121" max="5121" width="4.42578125" customWidth="1"/>
    <col min="5122" max="5122" width="7.42578125" customWidth="1"/>
    <col min="5123" max="5123" width="6.7109375" customWidth="1"/>
    <col min="5124" max="5124" width="26.42578125" customWidth="1"/>
    <col min="5125" max="5125" width="17.5703125" customWidth="1"/>
    <col min="5126" max="5126" width="13" bestFit="1" customWidth="1"/>
    <col min="5127" max="5127" width="11.28515625" customWidth="1"/>
    <col min="5128" max="5128" width="14.28515625" customWidth="1"/>
    <col min="5129" max="5129" width="12.7109375" customWidth="1"/>
    <col min="5130" max="5131" width="0" hidden="1" customWidth="1"/>
    <col min="5132" max="5132" width="8.5703125" customWidth="1"/>
    <col min="5133" max="5133" width="14.7109375" bestFit="1" customWidth="1"/>
    <col min="5134" max="5134" width="13.7109375" customWidth="1"/>
    <col min="5135" max="5135" width="16.28515625" bestFit="1" customWidth="1"/>
    <col min="5136" max="5136" width="14.85546875" customWidth="1"/>
    <col min="5137" max="5137" width="12.140625" customWidth="1"/>
    <col min="5138" max="5139" width="11.42578125" bestFit="1" customWidth="1"/>
    <col min="5140" max="5141" width="9.7109375" customWidth="1"/>
    <col min="5142" max="5142" width="15.85546875" customWidth="1"/>
    <col min="5143" max="5143" width="14.7109375" customWidth="1"/>
    <col min="5144" max="5144" width="14.85546875" customWidth="1"/>
    <col min="5145" max="5145" width="22.42578125" customWidth="1"/>
    <col min="5146" max="5146" width="2.85546875" customWidth="1"/>
    <col min="5147" max="5147" width="12.140625" bestFit="1" customWidth="1"/>
    <col min="5148" max="5359" width="9.140625" customWidth="1"/>
    <col min="5360" max="5360" width="4.42578125" customWidth="1"/>
    <col min="5361" max="5361" width="21.5703125" customWidth="1"/>
    <col min="5362" max="5362" width="17.28515625" customWidth="1"/>
    <col min="5363" max="5363" width="16.42578125" customWidth="1"/>
    <col min="5364" max="5364" width="9.85546875" customWidth="1"/>
    <col min="5365" max="5365" width="9.140625" customWidth="1"/>
    <col min="5366" max="5366" width="14.28515625" customWidth="1"/>
    <col min="5367" max="5367" width="8.42578125" customWidth="1"/>
    <col min="5368" max="5368" width="6.7109375" customWidth="1"/>
    <col min="5369" max="5369" width="7.42578125" customWidth="1"/>
    <col min="5377" max="5377" width="4.42578125" customWidth="1"/>
    <col min="5378" max="5378" width="7.42578125" customWidth="1"/>
    <col min="5379" max="5379" width="6.7109375" customWidth="1"/>
    <col min="5380" max="5380" width="26.42578125" customWidth="1"/>
    <col min="5381" max="5381" width="17.5703125" customWidth="1"/>
    <col min="5382" max="5382" width="13" bestFit="1" customWidth="1"/>
    <col min="5383" max="5383" width="11.28515625" customWidth="1"/>
    <col min="5384" max="5384" width="14.28515625" customWidth="1"/>
    <col min="5385" max="5385" width="12.7109375" customWidth="1"/>
    <col min="5386" max="5387" width="0" hidden="1" customWidth="1"/>
    <col min="5388" max="5388" width="8.5703125" customWidth="1"/>
    <col min="5389" max="5389" width="14.7109375" bestFit="1" customWidth="1"/>
    <col min="5390" max="5390" width="13.7109375" customWidth="1"/>
    <col min="5391" max="5391" width="16.28515625" bestFit="1" customWidth="1"/>
    <col min="5392" max="5392" width="14.85546875" customWidth="1"/>
    <col min="5393" max="5393" width="12.140625" customWidth="1"/>
    <col min="5394" max="5395" width="11.42578125" bestFit="1" customWidth="1"/>
    <col min="5396" max="5397" width="9.7109375" customWidth="1"/>
    <col min="5398" max="5398" width="15.85546875" customWidth="1"/>
    <col min="5399" max="5399" width="14.7109375" customWidth="1"/>
    <col min="5400" max="5400" width="14.85546875" customWidth="1"/>
    <col min="5401" max="5401" width="22.42578125" customWidth="1"/>
    <col min="5402" max="5402" width="2.85546875" customWidth="1"/>
    <col min="5403" max="5403" width="12.140625" bestFit="1" customWidth="1"/>
    <col min="5404" max="5615" width="9.140625" customWidth="1"/>
    <col min="5616" max="5616" width="4.42578125" customWidth="1"/>
    <col min="5617" max="5617" width="21.5703125" customWidth="1"/>
    <col min="5618" max="5618" width="17.28515625" customWidth="1"/>
    <col min="5619" max="5619" width="16.42578125" customWidth="1"/>
    <col min="5620" max="5620" width="9.85546875" customWidth="1"/>
    <col min="5621" max="5621" width="9.140625" customWidth="1"/>
    <col min="5622" max="5622" width="14.28515625" customWidth="1"/>
    <col min="5623" max="5623" width="8.42578125" customWidth="1"/>
    <col min="5624" max="5624" width="6.7109375" customWidth="1"/>
    <col min="5625" max="5625" width="7.42578125" customWidth="1"/>
    <col min="5633" max="5633" width="4.42578125" customWidth="1"/>
    <col min="5634" max="5634" width="7.42578125" customWidth="1"/>
    <col min="5635" max="5635" width="6.7109375" customWidth="1"/>
    <col min="5636" max="5636" width="26.42578125" customWidth="1"/>
    <col min="5637" max="5637" width="17.5703125" customWidth="1"/>
    <col min="5638" max="5638" width="13" bestFit="1" customWidth="1"/>
    <col min="5639" max="5639" width="11.28515625" customWidth="1"/>
    <col min="5640" max="5640" width="14.28515625" customWidth="1"/>
    <col min="5641" max="5641" width="12.7109375" customWidth="1"/>
    <col min="5642" max="5643" width="0" hidden="1" customWidth="1"/>
    <col min="5644" max="5644" width="8.5703125" customWidth="1"/>
    <col min="5645" max="5645" width="14.7109375" bestFit="1" customWidth="1"/>
    <col min="5646" max="5646" width="13.7109375" customWidth="1"/>
    <col min="5647" max="5647" width="16.28515625" bestFit="1" customWidth="1"/>
    <col min="5648" max="5648" width="14.85546875" customWidth="1"/>
    <col min="5649" max="5649" width="12.140625" customWidth="1"/>
    <col min="5650" max="5651" width="11.42578125" bestFit="1" customWidth="1"/>
    <col min="5652" max="5653" width="9.7109375" customWidth="1"/>
    <col min="5654" max="5654" width="15.85546875" customWidth="1"/>
    <col min="5655" max="5655" width="14.7109375" customWidth="1"/>
    <col min="5656" max="5656" width="14.85546875" customWidth="1"/>
    <col min="5657" max="5657" width="22.42578125" customWidth="1"/>
    <col min="5658" max="5658" width="2.85546875" customWidth="1"/>
    <col min="5659" max="5659" width="12.140625" bestFit="1" customWidth="1"/>
    <col min="5660" max="5871" width="9.140625" customWidth="1"/>
    <col min="5872" max="5872" width="4.42578125" customWidth="1"/>
    <col min="5873" max="5873" width="21.5703125" customWidth="1"/>
    <col min="5874" max="5874" width="17.28515625" customWidth="1"/>
    <col min="5875" max="5875" width="16.42578125" customWidth="1"/>
    <col min="5876" max="5876" width="9.85546875" customWidth="1"/>
    <col min="5877" max="5877" width="9.140625" customWidth="1"/>
    <col min="5878" max="5878" width="14.28515625" customWidth="1"/>
    <col min="5879" max="5879" width="8.42578125" customWidth="1"/>
    <col min="5880" max="5880" width="6.7109375" customWidth="1"/>
    <col min="5881" max="5881" width="7.42578125" customWidth="1"/>
    <col min="5889" max="5889" width="4.42578125" customWidth="1"/>
    <col min="5890" max="5890" width="7.42578125" customWidth="1"/>
    <col min="5891" max="5891" width="6.7109375" customWidth="1"/>
    <col min="5892" max="5892" width="26.42578125" customWidth="1"/>
    <col min="5893" max="5893" width="17.5703125" customWidth="1"/>
    <col min="5894" max="5894" width="13" bestFit="1" customWidth="1"/>
    <col min="5895" max="5895" width="11.28515625" customWidth="1"/>
    <col min="5896" max="5896" width="14.28515625" customWidth="1"/>
    <col min="5897" max="5897" width="12.7109375" customWidth="1"/>
    <col min="5898" max="5899" width="0" hidden="1" customWidth="1"/>
    <col min="5900" max="5900" width="8.5703125" customWidth="1"/>
    <col min="5901" max="5901" width="14.7109375" bestFit="1" customWidth="1"/>
    <col min="5902" max="5902" width="13.7109375" customWidth="1"/>
    <col min="5903" max="5903" width="16.28515625" bestFit="1" customWidth="1"/>
    <col min="5904" max="5904" width="14.85546875" customWidth="1"/>
    <col min="5905" max="5905" width="12.140625" customWidth="1"/>
    <col min="5906" max="5907" width="11.42578125" bestFit="1" customWidth="1"/>
    <col min="5908" max="5909" width="9.7109375" customWidth="1"/>
    <col min="5910" max="5910" width="15.85546875" customWidth="1"/>
    <col min="5911" max="5911" width="14.7109375" customWidth="1"/>
    <col min="5912" max="5912" width="14.85546875" customWidth="1"/>
    <col min="5913" max="5913" width="22.42578125" customWidth="1"/>
    <col min="5914" max="5914" width="2.85546875" customWidth="1"/>
    <col min="5915" max="5915" width="12.140625" bestFit="1" customWidth="1"/>
    <col min="5916" max="6127" width="9.140625" customWidth="1"/>
    <col min="6128" max="6128" width="4.42578125" customWidth="1"/>
    <col min="6129" max="6129" width="21.5703125" customWidth="1"/>
    <col min="6130" max="6130" width="17.28515625" customWidth="1"/>
    <col min="6131" max="6131" width="16.42578125" customWidth="1"/>
    <col min="6132" max="6132" width="9.85546875" customWidth="1"/>
    <col min="6133" max="6133" width="9.140625" customWidth="1"/>
    <col min="6134" max="6134" width="14.28515625" customWidth="1"/>
    <col min="6135" max="6135" width="8.42578125" customWidth="1"/>
    <col min="6136" max="6136" width="6.7109375" customWidth="1"/>
    <col min="6137" max="6137" width="7.42578125" customWidth="1"/>
    <col min="6145" max="6145" width="4.42578125" customWidth="1"/>
    <col min="6146" max="6146" width="7.42578125" customWidth="1"/>
    <col min="6147" max="6147" width="6.7109375" customWidth="1"/>
    <col min="6148" max="6148" width="26.42578125" customWidth="1"/>
    <col min="6149" max="6149" width="17.5703125" customWidth="1"/>
    <col min="6150" max="6150" width="13" bestFit="1" customWidth="1"/>
    <col min="6151" max="6151" width="11.28515625" customWidth="1"/>
    <col min="6152" max="6152" width="14.28515625" customWidth="1"/>
    <col min="6153" max="6153" width="12.7109375" customWidth="1"/>
    <col min="6154" max="6155" width="0" hidden="1" customWidth="1"/>
    <col min="6156" max="6156" width="8.5703125" customWidth="1"/>
    <col min="6157" max="6157" width="14.7109375" bestFit="1" customWidth="1"/>
    <col min="6158" max="6158" width="13.7109375" customWidth="1"/>
    <col min="6159" max="6159" width="16.28515625" bestFit="1" customWidth="1"/>
    <col min="6160" max="6160" width="14.85546875" customWidth="1"/>
    <col min="6161" max="6161" width="12.140625" customWidth="1"/>
    <col min="6162" max="6163" width="11.42578125" bestFit="1" customWidth="1"/>
    <col min="6164" max="6165" width="9.7109375" customWidth="1"/>
    <col min="6166" max="6166" width="15.85546875" customWidth="1"/>
    <col min="6167" max="6167" width="14.7109375" customWidth="1"/>
    <col min="6168" max="6168" width="14.85546875" customWidth="1"/>
    <col min="6169" max="6169" width="22.42578125" customWidth="1"/>
    <col min="6170" max="6170" width="2.85546875" customWidth="1"/>
    <col min="6171" max="6171" width="12.140625" bestFit="1" customWidth="1"/>
    <col min="6172" max="6383" width="9.140625" customWidth="1"/>
    <col min="6384" max="6384" width="4.42578125" customWidth="1"/>
    <col min="6385" max="6385" width="21.5703125" customWidth="1"/>
    <col min="6386" max="6386" width="17.28515625" customWidth="1"/>
    <col min="6387" max="6387" width="16.42578125" customWidth="1"/>
    <col min="6388" max="6388" width="9.85546875" customWidth="1"/>
    <col min="6389" max="6389" width="9.140625" customWidth="1"/>
    <col min="6390" max="6390" width="14.28515625" customWidth="1"/>
    <col min="6391" max="6391" width="8.42578125" customWidth="1"/>
    <col min="6392" max="6392" width="6.7109375" customWidth="1"/>
    <col min="6393" max="6393" width="7.42578125" customWidth="1"/>
    <col min="6401" max="6401" width="4.42578125" customWidth="1"/>
    <col min="6402" max="6402" width="7.42578125" customWidth="1"/>
    <col min="6403" max="6403" width="6.7109375" customWidth="1"/>
    <col min="6404" max="6404" width="26.42578125" customWidth="1"/>
    <col min="6405" max="6405" width="17.5703125" customWidth="1"/>
    <col min="6406" max="6406" width="13" bestFit="1" customWidth="1"/>
    <col min="6407" max="6407" width="11.28515625" customWidth="1"/>
    <col min="6408" max="6408" width="14.28515625" customWidth="1"/>
    <col min="6409" max="6409" width="12.7109375" customWidth="1"/>
    <col min="6410" max="6411" width="0" hidden="1" customWidth="1"/>
    <col min="6412" max="6412" width="8.5703125" customWidth="1"/>
    <col min="6413" max="6413" width="14.7109375" bestFit="1" customWidth="1"/>
    <col min="6414" max="6414" width="13.7109375" customWidth="1"/>
    <col min="6415" max="6415" width="16.28515625" bestFit="1" customWidth="1"/>
    <col min="6416" max="6416" width="14.85546875" customWidth="1"/>
    <col min="6417" max="6417" width="12.140625" customWidth="1"/>
    <col min="6418" max="6419" width="11.42578125" bestFit="1" customWidth="1"/>
    <col min="6420" max="6421" width="9.7109375" customWidth="1"/>
    <col min="6422" max="6422" width="15.85546875" customWidth="1"/>
    <col min="6423" max="6423" width="14.7109375" customWidth="1"/>
    <col min="6424" max="6424" width="14.85546875" customWidth="1"/>
    <col min="6425" max="6425" width="22.42578125" customWidth="1"/>
    <col min="6426" max="6426" width="2.85546875" customWidth="1"/>
    <col min="6427" max="6427" width="12.140625" bestFit="1" customWidth="1"/>
    <col min="6428" max="6639" width="9.140625" customWidth="1"/>
    <col min="6640" max="6640" width="4.42578125" customWidth="1"/>
    <col min="6641" max="6641" width="21.5703125" customWidth="1"/>
    <col min="6642" max="6642" width="17.28515625" customWidth="1"/>
    <col min="6643" max="6643" width="16.42578125" customWidth="1"/>
    <col min="6644" max="6644" width="9.85546875" customWidth="1"/>
    <col min="6645" max="6645" width="9.140625" customWidth="1"/>
    <col min="6646" max="6646" width="14.28515625" customWidth="1"/>
    <col min="6647" max="6647" width="8.42578125" customWidth="1"/>
    <col min="6648" max="6648" width="6.7109375" customWidth="1"/>
    <col min="6649" max="6649" width="7.42578125" customWidth="1"/>
    <col min="6657" max="6657" width="4.42578125" customWidth="1"/>
    <col min="6658" max="6658" width="7.42578125" customWidth="1"/>
    <col min="6659" max="6659" width="6.7109375" customWidth="1"/>
    <col min="6660" max="6660" width="26.42578125" customWidth="1"/>
    <col min="6661" max="6661" width="17.5703125" customWidth="1"/>
    <col min="6662" max="6662" width="13" bestFit="1" customWidth="1"/>
    <col min="6663" max="6663" width="11.28515625" customWidth="1"/>
    <col min="6664" max="6664" width="14.28515625" customWidth="1"/>
    <col min="6665" max="6665" width="12.7109375" customWidth="1"/>
    <col min="6666" max="6667" width="0" hidden="1" customWidth="1"/>
    <col min="6668" max="6668" width="8.5703125" customWidth="1"/>
    <col min="6669" max="6669" width="14.7109375" bestFit="1" customWidth="1"/>
    <col min="6670" max="6670" width="13.7109375" customWidth="1"/>
    <col min="6671" max="6671" width="16.28515625" bestFit="1" customWidth="1"/>
    <col min="6672" max="6672" width="14.85546875" customWidth="1"/>
    <col min="6673" max="6673" width="12.140625" customWidth="1"/>
    <col min="6674" max="6675" width="11.42578125" bestFit="1" customWidth="1"/>
    <col min="6676" max="6677" width="9.7109375" customWidth="1"/>
    <col min="6678" max="6678" width="15.85546875" customWidth="1"/>
    <col min="6679" max="6679" width="14.7109375" customWidth="1"/>
    <col min="6680" max="6680" width="14.85546875" customWidth="1"/>
    <col min="6681" max="6681" width="22.42578125" customWidth="1"/>
    <col min="6682" max="6682" width="2.85546875" customWidth="1"/>
    <col min="6683" max="6683" width="12.140625" bestFit="1" customWidth="1"/>
    <col min="6684" max="6895" width="9.140625" customWidth="1"/>
    <col min="6896" max="6896" width="4.42578125" customWidth="1"/>
    <col min="6897" max="6897" width="21.5703125" customWidth="1"/>
    <col min="6898" max="6898" width="17.28515625" customWidth="1"/>
    <col min="6899" max="6899" width="16.42578125" customWidth="1"/>
    <col min="6900" max="6900" width="9.85546875" customWidth="1"/>
    <col min="6901" max="6901" width="9.140625" customWidth="1"/>
    <col min="6902" max="6902" width="14.28515625" customWidth="1"/>
    <col min="6903" max="6903" width="8.42578125" customWidth="1"/>
    <col min="6904" max="6904" width="6.7109375" customWidth="1"/>
    <col min="6905" max="6905" width="7.42578125" customWidth="1"/>
    <col min="6913" max="6913" width="4.42578125" customWidth="1"/>
    <col min="6914" max="6914" width="7.42578125" customWidth="1"/>
    <col min="6915" max="6915" width="6.7109375" customWidth="1"/>
    <col min="6916" max="6916" width="26.42578125" customWidth="1"/>
    <col min="6917" max="6917" width="17.5703125" customWidth="1"/>
    <col min="6918" max="6918" width="13" bestFit="1" customWidth="1"/>
    <col min="6919" max="6919" width="11.28515625" customWidth="1"/>
    <col min="6920" max="6920" width="14.28515625" customWidth="1"/>
    <col min="6921" max="6921" width="12.7109375" customWidth="1"/>
    <col min="6922" max="6923" width="0" hidden="1" customWidth="1"/>
    <col min="6924" max="6924" width="8.5703125" customWidth="1"/>
    <col min="6925" max="6925" width="14.7109375" bestFit="1" customWidth="1"/>
    <col min="6926" max="6926" width="13.7109375" customWidth="1"/>
    <col min="6927" max="6927" width="16.28515625" bestFit="1" customWidth="1"/>
    <col min="6928" max="6928" width="14.85546875" customWidth="1"/>
    <col min="6929" max="6929" width="12.140625" customWidth="1"/>
    <col min="6930" max="6931" width="11.42578125" bestFit="1" customWidth="1"/>
    <col min="6932" max="6933" width="9.7109375" customWidth="1"/>
    <col min="6934" max="6934" width="15.85546875" customWidth="1"/>
    <col min="6935" max="6935" width="14.7109375" customWidth="1"/>
    <col min="6936" max="6936" width="14.85546875" customWidth="1"/>
    <col min="6937" max="6937" width="22.42578125" customWidth="1"/>
    <col min="6938" max="6938" width="2.85546875" customWidth="1"/>
    <col min="6939" max="6939" width="12.140625" bestFit="1" customWidth="1"/>
    <col min="6940" max="7151" width="9.140625" customWidth="1"/>
    <col min="7152" max="7152" width="4.42578125" customWidth="1"/>
    <col min="7153" max="7153" width="21.5703125" customWidth="1"/>
    <col min="7154" max="7154" width="17.28515625" customWidth="1"/>
    <col min="7155" max="7155" width="16.42578125" customWidth="1"/>
    <col min="7156" max="7156" width="9.85546875" customWidth="1"/>
    <col min="7157" max="7157" width="9.140625" customWidth="1"/>
    <col min="7158" max="7158" width="14.28515625" customWidth="1"/>
    <col min="7159" max="7159" width="8.42578125" customWidth="1"/>
    <col min="7160" max="7160" width="6.7109375" customWidth="1"/>
    <col min="7161" max="7161" width="7.42578125" customWidth="1"/>
    <col min="7169" max="7169" width="4.42578125" customWidth="1"/>
    <col min="7170" max="7170" width="7.42578125" customWidth="1"/>
    <col min="7171" max="7171" width="6.7109375" customWidth="1"/>
    <col min="7172" max="7172" width="26.42578125" customWidth="1"/>
    <col min="7173" max="7173" width="17.5703125" customWidth="1"/>
    <col min="7174" max="7174" width="13" bestFit="1" customWidth="1"/>
    <col min="7175" max="7175" width="11.28515625" customWidth="1"/>
    <col min="7176" max="7176" width="14.28515625" customWidth="1"/>
    <col min="7177" max="7177" width="12.7109375" customWidth="1"/>
    <col min="7178" max="7179" width="0" hidden="1" customWidth="1"/>
    <col min="7180" max="7180" width="8.5703125" customWidth="1"/>
    <col min="7181" max="7181" width="14.7109375" bestFit="1" customWidth="1"/>
    <col min="7182" max="7182" width="13.7109375" customWidth="1"/>
    <col min="7183" max="7183" width="16.28515625" bestFit="1" customWidth="1"/>
    <col min="7184" max="7184" width="14.85546875" customWidth="1"/>
    <col min="7185" max="7185" width="12.140625" customWidth="1"/>
    <col min="7186" max="7187" width="11.42578125" bestFit="1" customWidth="1"/>
    <col min="7188" max="7189" width="9.7109375" customWidth="1"/>
    <col min="7190" max="7190" width="15.85546875" customWidth="1"/>
    <col min="7191" max="7191" width="14.7109375" customWidth="1"/>
    <col min="7192" max="7192" width="14.85546875" customWidth="1"/>
    <col min="7193" max="7193" width="22.42578125" customWidth="1"/>
    <col min="7194" max="7194" width="2.85546875" customWidth="1"/>
    <col min="7195" max="7195" width="12.140625" bestFit="1" customWidth="1"/>
    <col min="7196" max="7407" width="9.140625" customWidth="1"/>
    <col min="7408" max="7408" width="4.42578125" customWidth="1"/>
    <col min="7409" max="7409" width="21.5703125" customWidth="1"/>
    <col min="7410" max="7410" width="17.28515625" customWidth="1"/>
    <col min="7411" max="7411" width="16.42578125" customWidth="1"/>
    <col min="7412" max="7412" width="9.85546875" customWidth="1"/>
    <col min="7413" max="7413" width="9.140625" customWidth="1"/>
    <col min="7414" max="7414" width="14.28515625" customWidth="1"/>
    <col min="7415" max="7415" width="8.42578125" customWidth="1"/>
    <col min="7416" max="7416" width="6.7109375" customWidth="1"/>
    <col min="7417" max="7417" width="7.42578125" customWidth="1"/>
    <col min="7425" max="7425" width="4.42578125" customWidth="1"/>
    <col min="7426" max="7426" width="7.42578125" customWidth="1"/>
    <col min="7427" max="7427" width="6.7109375" customWidth="1"/>
    <col min="7428" max="7428" width="26.42578125" customWidth="1"/>
    <col min="7429" max="7429" width="17.5703125" customWidth="1"/>
    <col min="7430" max="7430" width="13" bestFit="1" customWidth="1"/>
    <col min="7431" max="7431" width="11.28515625" customWidth="1"/>
    <col min="7432" max="7432" width="14.28515625" customWidth="1"/>
    <col min="7433" max="7433" width="12.7109375" customWidth="1"/>
    <col min="7434" max="7435" width="0" hidden="1" customWidth="1"/>
    <col min="7436" max="7436" width="8.5703125" customWidth="1"/>
    <col min="7437" max="7437" width="14.7109375" bestFit="1" customWidth="1"/>
    <col min="7438" max="7438" width="13.7109375" customWidth="1"/>
    <col min="7439" max="7439" width="16.28515625" bestFit="1" customWidth="1"/>
    <col min="7440" max="7440" width="14.85546875" customWidth="1"/>
    <col min="7441" max="7441" width="12.140625" customWidth="1"/>
    <col min="7442" max="7443" width="11.42578125" bestFit="1" customWidth="1"/>
    <col min="7444" max="7445" width="9.7109375" customWidth="1"/>
    <col min="7446" max="7446" width="15.85546875" customWidth="1"/>
    <col min="7447" max="7447" width="14.7109375" customWidth="1"/>
    <col min="7448" max="7448" width="14.85546875" customWidth="1"/>
    <col min="7449" max="7449" width="22.42578125" customWidth="1"/>
    <col min="7450" max="7450" width="2.85546875" customWidth="1"/>
    <col min="7451" max="7451" width="12.140625" bestFit="1" customWidth="1"/>
    <col min="7452" max="7663" width="9.140625" customWidth="1"/>
    <col min="7664" max="7664" width="4.42578125" customWidth="1"/>
    <col min="7665" max="7665" width="21.5703125" customWidth="1"/>
    <col min="7666" max="7666" width="17.28515625" customWidth="1"/>
    <col min="7667" max="7667" width="16.42578125" customWidth="1"/>
    <col min="7668" max="7668" width="9.85546875" customWidth="1"/>
    <col min="7669" max="7669" width="9.140625" customWidth="1"/>
    <col min="7670" max="7670" width="14.28515625" customWidth="1"/>
    <col min="7671" max="7671" width="8.42578125" customWidth="1"/>
    <col min="7672" max="7672" width="6.7109375" customWidth="1"/>
    <col min="7673" max="7673" width="7.42578125" customWidth="1"/>
    <col min="7681" max="7681" width="4.42578125" customWidth="1"/>
    <col min="7682" max="7682" width="7.42578125" customWidth="1"/>
    <col min="7683" max="7683" width="6.7109375" customWidth="1"/>
    <col min="7684" max="7684" width="26.42578125" customWidth="1"/>
    <col min="7685" max="7685" width="17.5703125" customWidth="1"/>
    <col min="7686" max="7686" width="13" bestFit="1" customWidth="1"/>
    <col min="7687" max="7687" width="11.28515625" customWidth="1"/>
    <col min="7688" max="7688" width="14.28515625" customWidth="1"/>
    <col min="7689" max="7689" width="12.7109375" customWidth="1"/>
    <col min="7690" max="7691" width="0" hidden="1" customWidth="1"/>
    <col min="7692" max="7692" width="8.5703125" customWidth="1"/>
    <col min="7693" max="7693" width="14.7109375" bestFit="1" customWidth="1"/>
    <col min="7694" max="7694" width="13.7109375" customWidth="1"/>
    <col min="7695" max="7695" width="16.28515625" bestFit="1" customWidth="1"/>
    <col min="7696" max="7696" width="14.85546875" customWidth="1"/>
    <col min="7697" max="7697" width="12.140625" customWidth="1"/>
    <col min="7698" max="7699" width="11.42578125" bestFit="1" customWidth="1"/>
    <col min="7700" max="7701" width="9.7109375" customWidth="1"/>
    <col min="7702" max="7702" width="15.85546875" customWidth="1"/>
    <col min="7703" max="7703" width="14.7109375" customWidth="1"/>
    <col min="7704" max="7704" width="14.85546875" customWidth="1"/>
    <col min="7705" max="7705" width="22.42578125" customWidth="1"/>
    <col min="7706" max="7706" width="2.85546875" customWidth="1"/>
    <col min="7707" max="7707" width="12.140625" bestFit="1" customWidth="1"/>
    <col min="7708" max="7919" width="9.140625" customWidth="1"/>
    <col min="7920" max="7920" width="4.42578125" customWidth="1"/>
    <col min="7921" max="7921" width="21.5703125" customWidth="1"/>
    <col min="7922" max="7922" width="17.28515625" customWidth="1"/>
    <col min="7923" max="7923" width="16.42578125" customWidth="1"/>
    <col min="7924" max="7924" width="9.85546875" customWidth="1"/>
    <col min="7925" max="7925" width="9.140625" customWidth="1"/>
    <col min="7926" max="7926" width="14.28515625" customWidth="1"/>
    <col min="7927" max="7927" width="8.42578125" customWidth="1"/>
    <col min="7928" max="7928" width="6.7109375" customWidth="1"/>
    <col min="7929" max="7929" width="7.42578125" customWidth="1"/>
    <col min="7937" max="7937" width="4.42578125" customWidth="1"/>
    <col min="7938" max="7938" width="7.42578125" customWidth="1"/>
    <col min="7939" max="7939" width="6.7109375" customWidth="1"/>
    <col min="7940" max="7940" width="26.42578125" customWidth="1"/>
    <col min="7941" max="7941" width="17.5703125" customWidth="1"/>
    <col min="7942" max="7942" width="13" bestFit="1" customWidth="1"/>
    <col min="7943" max="7943" width="11.28515625" customWidth="1"/>
    <col min="7944" max="7944" width="14.28515625" customWidth="1"/>
    <col min="7945" max="7945" width="12.7109375" customWidth="1"/>
    <col min="7946" max="7947" width="0" hidden="1" customWidth="1"/>
    <col min="7948" max="7948" width="8.5703125" customWidth="1"/>
    <col min="7949" max="7949" width="14.7109375" bestFit="1" customWidth="1"/>
    <col min="7950" max="7950" width="13.7109375" customWidth="1"/>
    <col min="7951" max="7951" width="16.28515625" bestFit="1" customWidth="1"/>
    <col min="7952" max="7952" width="14.85546875" customWidth="1"/>
    <col min="7953" max="7953" width="12.140625" customWidth="1"/>
    <col min="7954" max="7955" width="11.42578125" bestFit="1" customWidth="1"/>
    <col min="7956" max="7957" width="9.7109375" customWidth="1"/>
    <col min="7958" max="7958" width="15.85546875" customWidth="1"/>
    <col min="7959" max="7959" width="14.7109375" customWidth="1"/>
    <col min="7960" max="7960" width="14.85546875" customWidth="1"/>
    <col min="7961" max="7961" width="22.42578125" customWidth="1"/>
    <col min="7962" max="7962" width="2.85546875" customWidth="1"/>
    <col min="7963" max="7963" width="12.140625" bestFit="1" customWidth="1"/>
    <col min="7964" max="8175" width="9.140625" customWidth="1"/>
    <col min="8176" max="8176" width="4.42578125" customWidth="1"/>
    <col min="8177" max="8177" width="21.5703125" customWidth="1"/>
    <col min="8178" max="8178" width="17.28515625" customWidth="1"/>
    <col min="8179" max="8179" width="16.42578125" customWidth="1"/>
    <col min="8180" max="8180" width="9.85546875" customWidth="1"/>
    <col min="8181" max="8181" width="9.140625" customWidth="1"/>
    <col min="8182" max="8182" width="14.28515625" customWidth="1"/>
    <col min="8183" max="8183" width="8.42578125" customWidth="1"/>
    <col min="8184" max="8184" width="6.7109375" customWidth="1"/>
    <col min="8185" max="8185" width="7.42578125" customWidth="1"/>
    <col min="8193" max="8193" width="4.42578125" customWidth="1"/>
    <col min="8194" max="8194" width="7.42578125" customWidth="1"/>
    <col min="8195" max="8195" width="6.7109375" customWidth="1"/>
    <col min="8196" max="8196" width="26.42578125" customWidth="1"/>
    <col min="8197" max="8197" width="17.5703125" customWidth="1"/>
    <col min="8198" max="8198" width="13" bestFit="1" customWidth="1"/>
    <col min="8199" max="8199" width="11.28515625" customWidth="1"/>
    <col min="8200" max="8200" width="14.28515625" customWidth="1"/>
    <col min="8201" max="8201" width="12.7109375" customWidth="1"/>
    <col min="8202" max="8203" width="0" hidden="1" customWidth="1"/>
    <col min="8204" max="8204" width="8.5703125" customWidth="1"/>
    <col min="8205" max="8205" width="14.7109375" bestFit="1" customWidth="1"/>
    <col min="8206" max="8206" width="13.7109375" customWidth="1"/>
    <col min="8207" max="8207" width="16.28515625" bestFit="1" customWidth="1"/>
    <col min="8208" max="8208" width="14.85546875" customWidth="1"/>
    <col min="8209" max="8209" width="12.140625" customWidth="1"/>
    <col min="8210" max="8211" width="11.42578125" bestFit="1" customWidth="1"/>
    <col min="8212" max="8213" width="9.7109375" customWidth="1"/>
    <col min="8214" max="8214" width="15.85546875" customWidth="1"/>
    <col min="8215" max="8215" width="14.7109375" customWidth="1"/>
    <col min="8216" max="8216" width="14.85546875" customWidth="1"/>
    <col min="8217" max="8217" width="22.42578125" customWidth="1"/>
    <col min="8218" max="8218" width="2.85546875" customWidth="1"/>
    <col min="8219" max="8219" width="12.140625" bestFit="1" customWidth="1"/>
    <col min="8220" max="8431" width="9.140625" customWidth="1"/>
    <col min="8432" max="8432" width="4.42578125" customWidth="1"/>
    <col min="8433" max="8433" width="21.5703125" customWidth="1"/>
    <col min="8434" max="8434" width="17.28515625" customWidth="1"/>
    <col min="8435" max="8435" width="16.42578125" customWidth="1"/>
    <col min="8436" max="8436" width="9.85546875" customWidth="1"/>
    <col min="8437" max="8437" width="9.140625" customWidth="1"/>
    <col min="8438" max="8438" width="14.28515625" customWidth="1"/>
    <col min="8439" max="8439" width="8.42578125" customWidth="1"/>
    <col min="8440" max="8440" width="6.7109375" customWidth="1"/>
    <col min="8441" max="8441" width="7.42578125" customWidth="1"/>
    <col min="8449" max="8449" width="4.42578125" customWidth="1"/>
    <col min="8450" max="8450" width="7.42578125" customWidth="1"/>
    <col min="8451" max="8451" width="6.7109375" customWidth="1"/>
    <col min="8452" max="8452" width="26.42578125" customWidth="1"/>
    <col min="8453" max="8453" width="17.5703125" customWidth="1"/>
    <col min="8454" max="8454" width="13" bestFit="1" customWidth="1"/>
    <col min="8455" max="8455" width="11.28515625" customWidth="1"/>
    <col min="8456" max="8456" width="14.28515625" customWidth="1"/>
    <col min="8457" max="8457" width="12.7109375" customWidth="1"/>
    <col min="8458" max="8459" width="0" hidden="1" customWidth="1"/>
    <col min="8460" max="8460" width="8.5703125" customWidth="1"/>
    <col min="8461" max="8461" width="14.7109375" bestFit="1" customWidth="1"/>
    <col min="8462" max="8462" width="13.7109375" customWidth="1"/>
    <col min="8463" max="8463" width="16.28515625" bestFit="1" customWidth="1"/>
    <col min="8464" max="8464" width="14.85546875" customWidth="1"/>
    <col min="8465" max="8465" width="12.140625" customWidth="1"/>
    <col min="8466" max="8467" width="11.42578125" bestFit="1" customWidth="1"/>
    <col min="8468" max="8469" width="9.7109375" customWidth="1"/>
    <col min="8470" max="8470" width="15.85546875" customWidth="1"/>
    <col min="8471" max="8471" width="14.7109375" customWidth="1"/>
    <col min="8472" max="8472" width="14.85546875" customWidth="1"/>
    <col min="8473" max="8473" width="22.42578125" customWidth="1"/>
    <col min="8474" max="8474" width="2.85546875" customWidth="1"/>
    <col min="8475" max="8475" width="12.140625" bestFit="1" customWidth="1"/>
    <col min="8476" max="8687" width="9.140625" customWidth="1"/>
    <col min="8688" max="8688" width="4.42578125" customWidth="1"/>
    <col min="8689" max="8689" width="21.5703125" customWidth="1"/>
    <col min="8690" max="8690" width="17.28515625" customWidth="1"/>
    <col min="8691" max="8691" width="16.42578125" customWidth="1"/>
    <col min="8692" max="8692" width="9.85546875" customWidth="1"/>
    <col min="8693" max="8693" width="9.140625" customWidth="1"/>
    <col min="8694" max="8694" width="14.28515625" customWidth="1"/>
    <col min="8695" max="8695" width="8.42578125" customWidth="1"/>
    <col min="8696" max="8696" width="6.7109375" customWidth="1"/>
    <col min="8697" max="8697" width="7.42578125" customWidth="1"/>
    <col min="8705" max="8705" width="4.42578125" customWidth="1"/>
    <col min="8706" max="8706" width="7.42578125" customWidth="1"/>
    <col min="8707" max="8707" width="6.7109375" customWidth="1"/>
    <col min="8708" max="8708" width="26.42578125" customWidth="1"/>
    <col min="8709" max="8709" width="17.5703125" customWidth="1"/>
    <col min="8710" max="8710" width="13" bestFit="1" customWidth="1"/>
    <col min="8711" max="8711" width="11.28515625" customWidth="1"/>
    <col min="8712" max="8712" width="14.28515625" customWidth="1"/>
    <col min="8713" max="8713" width="12.7109375" customWidth="1"/>
    <col min="8714" max="8715" width="0" hidden="1" customWidth="1"/>
    <col min="8716" max="8716" width="8.5703125" customWidth="1"/>
    <col min="8717" max="8717" width="14.7109375" bestFit="1" customWidth="1"/>
    <col min="8718" max="8718" width="13.7109375" customWidth="1"/>
    <col min="8719" max="8719" width="16.28515625" bestFit="1" customWidth="1"/>
    <col min="8720" max="8720" width="14.85546875" customWidth="1"/>
    <col min="8721" max="8721" width="12.140625" customWidth="1"/>
    <col min="8722" max="8723" width="11.42578125" bestFit="1" customWidth="1"/>
    <col min="8724" max="8725" width="9.7109375" customWidth="1"/>
    <col min="8726" max="8726" width="15.85546875" customWidth="1"/>
    <col min="8727" max="8727" width="14.7109375" customWidth="1"/>
    <col min="8728" max="8728" width="14.85546875" customWidth="1"/>
    <col min="8729" max="8729" width="22.42578125" customWidth="1"/>
    <col min="8730" max="8730" width="2.85546875" customWidth="1"/>
    <col min="8731" max="8731" width="12.140625" bestFit="1" customWidth="1"/>
    <col min="8732" max="8943" width="9.140625" customWidth="1"/>
    <col min="8944" max="8944" width="4.42578125" customWidth="1"/>
    <col min="8945" max="8945" width="21.5703125" customWidth="1"/>
    <col min="8946" max="8946" width="17.28515625" customWidth="1"/>
    <col min="8947" max="8947" width="16.42578125" customWidth="1"/>
    <col min="8948" max="8948" width="9.85546875" customWidth="1"/>
    <col min="8949" max="8949" width="9.140625" customWidth="1"/>
    <col min="8950" max="8950" width="14.28515625" customWidth="1"/>
    <col min="8951" max="8951" width="8.42578125" customWidth="1"/>
    <col min="8952" max="8952" width="6.7109375" customWidth="1"/>
    <col min="8953" max="8953" width="7.42578125" customWidth="1"/>
    <col min="8961" max="8961" width="4.42578125" customWidth="1"/>
    <col min="8962" max="8962" width="7.42578125" customWidth="1"/>
    <col min="8963" max="8963" width="6.7109375" customWidth="1"/>
    <col min="8964" max="8964" width="26.42578125" customWidth="1"/>
    <col min="8965" max="8965" width="17.5703125" customWidth="1"/>
    <col min="8966" max="8966" width="13" bestFit="1" customWidth="1"/>
    <col min="8967" max="8967" width="11.28515625" customWidth="1"/>
    <col min="8968" max="8968" width="14.28515625" customWidth="1"/>
    <col min="8969" max="8969" width="12.7109375" customWidth="1"/>
    <col min="8970" max="8971" width="0" hidden="1" customWidth="1"/>
    <col min="8972" max="8972" width="8.5703125" customWidth="1"/>
    <col min="8973" max="8973" width="14.7109375" bestFit="1" customWidth="1"/>
    <col min="8974" max="8974" width="13.7109375" customWidth="1"/>
    <col min="8975" max="8975" width="16.28515625" bestFit="1" customWidth="1"/>
    <col min="8976" max="8976" width="14.85546875" customWidth="1"/>
    <col min="8977" max="8977" width="12.140625" customWidth="1"/>
    <col min="8978" max="8979" width="11.42578125" bestFit="1" customWidth="1"/>
    <col min="8980" max="8981" width="9.7109375" customWidth="1"/>
    <col min="8982" max="8982" width="15.85546875" customWidth="1"/>
    <col min="8983" max="8983" width="14.7109375" customWidth="1"/>
    <col min="8984" max="8984" width="14.85546875" customWidth="1"/>
    <col min="8985" max="8985" width="22.42578125" customWidth="1"/>
    <col min="8986" max="8986" width="2.85546875" customWidth="1"/>
    <col min="8987" max="8987" width="12.140625" bestFit="1" customWidth="1"/>
    <col min="8988" max="9199" width="9.140625" customWidth="1"/>
    <col min="9200" max="9200" width="4.42578125" customWidth="1"/>
    <col min="9201" max="9201" width="21.5703125" customWidth="1"/>
    <col min="9202" max="9202" width="17.28515625" customWidth="1"/>
    <col min="9203" max="9203" width="16.42578125" customWidth="1"/>
    <col min="9204" max="9204" width="9.85546875" customWidth="1"/>
    <col min="9205" max="9205" width="9.140625" customWidth="1"/>
    <col min="9206" max="9206" width="14.28515625" customWidth="1"/>
    <col min="9207" max="9207" width="8.42578125" customWidth="1"/>
    <col min="9208" max="9208" width="6.7109375" customWidth="1"/>
    <col min="9209" max="9209" width="7.42578125" customWidth="1"/>
    <col min="9217" max="9217" width="4.42578125" customWidth="1"/>
    <col min="9218" max="9218" width="7.42578125" customWidth="1"/>
    <col min="9219" max="9219" width="6.7109375" customWidth="1"/>
    <col min="9220" max="9220" width="26.42578125" customWidth="1"/>
    <col min="9221" max="9221" width="17.5703125" customWidth="1"/>
    <col min="9222" max="9222" width="13" bestFit="1" customWidth="1"/>
    <col min="9223" max="9223" width="11.28515625" customWidth="1"/>
    <col min="9224" max="9224" width="14.28515625" customWidth="1"/>
    <col min="9225" max="9225" width="12.7109375" customWidth="1"/>
    <col min="9226" max="9227" width="0" hidden="1" customWidth="1"/>
    <col min="9228" max="9228" width="8.5703125" customWidth="1"/>
    <col min="9229" max="9229" width="14.7109375" bestFit="1" customWidth="1"/>
    <col min="9230" max="9230" width="13.7109375" customWidth="1"/>
    <col min="9231" max="9231" width="16.28515625" bestFit="1" customWidth="1"/>
    <col min="9232" max="9232" width="14.85546875" customWidth="1"/>
    <col min="9233" max="9233" width="12.140625" customWidth="1"/>
    <col min="9234" max="9235" width="11.42578125" bestFit="1" customWidth="1"/>
    <col min="9236" max="9237" width="9.7109375" customWidth="1"/>
    <col min="9238" max="9238" width="15.85546875" customWidth="1"/>
    <col min="9239" max="9239" width="14.7109375" customWidth="1"/>
    <col min="9240" max="9240" width="14.85546875" customWidth="1"/>
    <col min="9241" max="9241" width="22.42578125" customWidth="1"/>
    <col min="9242" max="9242" width="2.85546875" customWidth="1"/>
    <col min="9243" max="9243" width="12.140625" bestFit="1" customWidth="1"/>
    <col min="9244" max="9455" width="9.140625" customWidth="1"/>
    <col min="9456" max="9456" width="4.42578125" customWidth="1"/>
    <col min="9457" max="9457" width="21.5703125" customWidth="1"/>
    <col min="9458" max="9458" width="17.28515625" customWidth="1"/>
    <col min="9459" max="9459" width="16.42578125" customWidth="1"/>
    <col min="9460" max="9460" width="9.85546875" customWidth="1"/>
    <col min="9461" max="9461" width="9.140625" customWidth="1"/>
    <col min="9462" max="9462" width="14.28515625" customWidth="1"/>
    <col min="9463" max="9463" width="8.42578125" customWidth="1"/>
    <col min="9464" max="9464" width="6.7109375" customWidth="1"/>
    <col min="9465" max="9465" width="7.42578125" customWidth="1"/>
    <col min="9473" max="9473" width="4.42578125" customWidth="1"/>
    <col min="9474" max="9474" width="7.42578125" customWidth="1"/>
    <col min="9475" max="9475" width="6.7109375" customWidth="1"/>
    <col min="9476" max="9476" width="26.42578125" customWidth="1"/>
    <col min="9477" max="9477" width="17.5703125" customWidth="1"/>
    <col min="9478" max="9478" width="13" bestFit="1" customWidth="1"/>
    <col min="9479" max="9479" width="11.28515625" customWidth="1"/>
    <col min="9480" max="9480" width="14.28515625" customWidth="1"/>
    <col min="9481" max="9481" width="12.7109375" customWidth="1"/>
    <col min="9482" max="9483" width="0" hidden="1" customWidth="1"/>
    <col min="9484" max="9484" width="8.5703125" customWidth="1"/>
    <col min="9485" max="9485" width="14.7109375" bestFit="1" customWidth="1"/>
    <col min="9486" max="9486" width="13.7109375" customWidth="1"/>
    <col min="9487" max="9487" width="16.28515625" bestFit="1" customWidth="1"/>
    <col min="9488" max="9488" width="14.85546875" customWidth="1"/>
    <col min="9489" max="9489" width="12.140625" customWidth="1"/>
    <col min="9490" max="9491" width="11.42578125" bestFit="1" customWidth="1"/>
    <col min="9492" max="9493" width="9.7109375" customWidth="1"/>
    <col min="9494" max="9494" width="15.85546875" customWidth="1"/>
    <col min="9495" max="9495" width="14.7109375" customWidth="1"/>
    <col min="9496" max="9496" width="14.85546875" customWidth="1"/>
    <col min="9497" max="9497" width="22.42578125" customWidth="1"/>
    <col min="9498" max="9498" width="2.85546875" customWidth="1"/>
    <col min="9499" max="9499" width="12.140625" bestFit="1" customWidth="1"/>
    <col min="9500" max="9711" width="9.140625" customWidth="1"/>
    <col min="9712" max="9712" width="4.42578125" customWidth="1"/>
    <col min="9713" max="9713" width="21.5703125" customWidth="1"/>
    <col min="9714" max="9714" width="17.28515625" customWidth="1"/>
    <col min="9715" max="9715" width="16.42578125" customWidth="1"/>
    <col min="9716" max="9716" width="9.85546875" customWidth="1"/>
    <col min="9717" max="9717" width="9.140625" customWidth="1"/>
    <col min="9718" max="9718" width="14.28515625" customWidth="1"/>
    <col min="9719" max="9719" width="8.42578125" customWidth="1"/>
    <col min="9720" max="9720" width="6.7109375" customWidth="1"/>
    <col min="9721" max="9721" width="7.42578125" customWidth="1"/>
    <col min="9729" max="9729" width="4.42578125" customWidth="1"/>
    <col min="9730" max="9730" width="7.42578125" customWidth="1"/>
    <col min="9731" max="9731" width="6.7109375" customWidth="1"/>
    <col min="9732" max="9732" width="26.42578125" customWidth="1"/>
    <col min="9733" max="9733" width="17.5703125" customWidth="1"/>
    <col min="9734" max="9734" width="13" bestFit="1" customWidth="1"/>
    <col min="9735" max="9735" width="11.28515625" customWidth="1"/>
    <col min="9736" max="9736" width="14.28515625" customWidth="1"/>
    <col min="9737" max="9737" width="12.7109375" customWidth="1"/>
    <col min="9738" max="9739" width="0" hidden="1" customWidth="1"/>
    <col min="9740" max="9740" width="8.5703125" customWidth="1"/>
    <col min="9741" max="9741" width="14.7109375" bestFit="1" customWidth="1"/>
    <col min="9742" max="9742" width="13.7109375" customWidth="1"/>
    <col min="9743" max="9743" width="16.28515625" bestFit="1" customWidth="1"/>
    <col min="9744" max="9744" width="14.85546875" customWidth="1"/>
    <col min="9745" max="9745" width="12.140625" customWidth="1"/>
    <col min="9746" max="9747" width="11.42578125" bestFit="1" customWidth="1"/>
    <col min="9748" max="9749" width="9.7109375" customWidth="1"/>
    <col min="9750" max="9750" width="15.85546875" customWidth="1"/>
    <col min="9751" max="9751" width="14.7109375" customWidth="1"/>
    <col min="9752" max="9752" width="14.85546875" customWidth="1"/>
    <col min="9753" max="9753" width="22.42578125" customWidth="1"/>
    <col min="9754" max="9754" width="2.85546875" customWidth="1"/>
    <col min="9755" max="9755" width="12.140625" bestFit="1" customWidth="1"/>
    <col min="9756" max="9967" width="9.140625" customWidth="1"/>
    <col min="9968" max="9968" width="4.42578125" customWidth="1"/>
    <col min="9969" max="9969" width="21.5703125" customWidth="1"/>
    <col min="9970" max="9970" width="17.28515625" customWidth="1"/>
    <col min="9971" max="9971" width="16.42578125" customWidth="1"/>
    <col min="9972" max="9972" width="9.85546875" customWidth="1"/>
    <col min="9973" max="9973" width="9.140625" customWidth="1"/>
    <col min="9974" max="9974" width="14.28515625" customWidth="1"/>
    <col min="9975" max="9975" width="8.42578125" customWidth="1"/>
    <col min="9976" max="9976" width="6.7109375" customWidth="1"/>
    <col min="9977" max="9977" width="7.42578125" customWidth="1"/>
    <col min="9985" max="9985" width="4.42578125" customWidth="1"/>
    <col min="9986" max="9986" width="7.42578125" customWidth="1"/>
    <col min="9987" max="9987" width="6.7109375" customWidth="1"/>
    <col min="9988" max="9988" width="26.42578125" customWidth="1"/>
    <col min="9989" max="9989" width="17.5703125" customWidth="1"/>
    <col min="9990" max="9990" width="13" bestFit="1" customWidth="1"/>
    <col min="9991" max="9991" width="11.28515625" customWidth="1"/>
    <col min="9992" max="9992" width="14.28515625" customWidth="1"/>
    <col min="9993" max="9993" width="12.7109375" customWidth="1"/>
    <col min="9994" max="9995" width="0" hidden="1" customWidth="1"/>
    <col min="9996" max="9996" width="8.5703125" customWidth="1"/>
    <col min="9997" max="9997" width="14.7109375" bestFit="1" customWidth="1"/>
    <col min="9998" max="9998" width="13.7109375" customWidth="1"/>
    <col min="9999" max="9999" width="16.28515625" bestFit="1" customWidth="1"/>
    <col min="10000" max="10000" width="14.85546875" customWidth="1"/>
    <col min="10001" max="10001" width="12.140625" customWidth="1"/>
    <col min="10002" max="10003" width="11.42578125" bestFit="1" customWidth="1"/>
    <col min="10004" max="10005" width="9.7109375" customWidth="1"/>
    <col min="10006" max="10006" width="15.85546875" customWidth="1"/>
    <col min="10007" max="10007" width="14.7109375" customWidth="1"/>
    <col min="10008" max="10008" width="14.85546875" customWidth="1"/>
    <col min="10009" max="10009" width="22.42578125" customWidth="1"/>
    <col min="10010" max="10010" width="2.85546875" customWidth="1"/>
    <col min="10011" max="10011" width="12.140625" bestFit="1" customWidth="1"/>
    <col min="10012" max="10223" width="9.140625" customWidth="1"/>
    <col min="10224" max="10224" width="4.42578125" customWidth="1"/>
    <col min="10225" max="10225" width="21.5703125" customWidth="1"/>
    <col min="10226" max="10226" width="17.28515625" customWidth="1"/>
    <col min="10227" max="10227" width="16.42578125" customWidth="1"/>
    <col min="10228" max="10228" width="9.85546875" customWidth="1"/>
    <col min="10229" max="10229" width="9.140625" customWidth="1"/>
    <col min="10230" max="10230" width="14.28515625" customWidth="1"/>
    <col min="10231" max="10231" width="8.42578125" customWidth="1"/>
    <col min="10232" max="10232" width="6.7109375" customWidth="1"/>
    <col min="10233" max="10233" width="7.42578125" customWidth="1"/>
    <col min="10241" max="10241" width="4.42578125" customWidth="1"/>
    <col min="10242" max="10242" width="7.42578125" customWidth="1"/>
    <col min="10243" max="10243" width="6.7109375" customWidth="1"/>
    <col min="10244" max="10244" width="26.42578125" customWidth="1"/>
    <col min="10245" max="10245" width="17.5703125" customWidth="1"/>
    <col min="10246" max="10246" width="13" bestFit="1" customWidth="1"/>
    <col min="10247" max="10247" width="11.28515625" customWidth="1"/>
    <col min="10248" max="10248" width="14.28515625" customWidth="1"/>
    <col min="10249" max="10249" width="12.7109375" customWidth="1"/>
    <col min="10250" max="10251" width="0" hidden="1" customWidth="1"/>
    <col min="10252" max="10252" width="8.5703125" customWidth="1"/>
    <col min="10253" max="10253" width="14.7109375" bestFit="1" customWidth="1"/>
    <col min="10254" max="10254" width="13.7109375" customWidth="1"/>
    <col min="10255" max="10255" width="16.28515625" bestFit="1" customWidth="1"/>
    <col min="10256" max="10256" width="14.85546875" customWidth="1"/>
    <col min="10257" max="10257" width="12.140625" customWidth="1"/>
    <col min="10258" max="10259" width="11.42578125" bestFit="1" customWidth="1"/>
    <col min="10260" max="10261" width="9.7109375" customWidth="1"/>
    <col min="10262" max="10262" width="15.85546875" customWidth="1"/>
    <col min="10263" max="10263" width="14.7109375" customWidth="1"/>
    <col min="10264" max="10264" width="14.85546875" customWidth="1"/>
    <col min="10265" max="10265" width="22.42578125" customWidth="1"/>
    <col min="10266" max="10266" width="2.85546875" customWidth="1"/>
    <col min="10267" max="10267" width="12.140625" bestFit="1" customWidth="1"/>
    <col min="10268" max="10479" width="9.140625" customWidth="1"/>
    <col min="10480" max="10480" width="4.42578125" customWidth="1"/>
    <col min="10481" max="10481" width="21.5703125" customWidth="1"/>
    <col min="10482" max="10482" width="17.28515625" customWidth="1"/>
    <col min="10483" max="10483" width="16.42578125" customWidth="1"/>
    <col min="10484" max="10484" width="9.85546875" customWidth="1"/>
    <col min="10485" max="10485" width="9.140625" customWidth="1"/>
    <col min="10486" max="10486" width="14.28515625" customWidth="1"/>
    <col min="10487" max="10487" width="8.42578125" customWidth="1"/>
    <col min="10488" max="10488" width="6.7109375" customWidth="1"/>
    <col min="10489" max="10489" width="7.42578125" customWidth="1"/>
    <col min="10497" max="10497" width="4.42578125" customWidth="1"/>
    <col min="10498" max="10498" width="7.42578125" customWidth="1"/>
    <col min="10499" max="10499" width="6.7109375" customWidth="1"/>
    <col min="10500" max="10500" width="26.42578125" customWidth="1"/>
    <col min="10501" max="10501" width="17.5703125" customWidth="1"/>
    <col min="10502" max="10502" width="13" bestFit="1" customWidth="1"/>
    <col min="10503" max="10503" width="11.28515625" customWidth="1"/>
    <col min="10504" max="10504" width="14.28515625" customWidth="1"/>
    <col min="10505" max="10505" width="12.7109375" customWidth="1"/>
    <col min="10506" max="10507" width="0" hidden="1" customWidth="1"/>
    <col min="10508" max="10508" width="8.5703125" customWidth="1"/>
    <col min="10509" max="10509" width="14.7109375" bestFit="1" customWidth="1"/>
    <col min="10510" max="10510" width="13.7109375" customWidth="1"/>
    <col min="10511" max="10511" width="16.28515625" bestFit="1" customWidth="1"/>
    <col min="10512" max="10512" width="14.85546875" customWidth="1"/>
    <col min="10513" max="10513" width="12.140625" customWidth="1"/>
    <col min="10514" max="10515" width="11.42578125" bestFit="1" customWidth="1"/>
    <col min="10516" max="10517" width="9.7109375" customWidth="1"/>
    <col min="10518" max="10518" width="15.85546875" customWidth="1"/>
    <col min="10519" max="10519" width="14.7109375" customWidth="1"/>
    <col min="10520" max="10520" width="14.85546875" customWidth="1"/>
    <col min="10521" max="10521" width="22.42578125" customWidth="1"/>
    <col min="10522" max="10522" width="2.85546875" customWidth="1"/>
    <col min="10523" max="10523" width="12.140625" bestFit="1" customWidth="1"/>
    <col min="10524" max="10735" width="9.140625" customWidth="1"/>
    <col min="10736" max="10736" width="4.42578125" customWidth="1"/>
    <col min="10737" max="10737" width="21.5703125" customWidth="1"/>
    <col min="10738" max="10738" width="17.28515625" customWidth="1"/>
    <col min="10739" max="10739" width="16.42578125" customWidth="1"/>
    <col min="10740" max="10740" width="9.85546875" customWidth="1"/>
    <col min="10741" max="10741" width="9.140625" customWidth="1"/>
    <col min="10742" max="10742" width="14.28515625" customWidth="1"/>
    <col min="10743" max="10743" width="8.42578125" customWidth="1"/>
    <col min="10744" max="10744" width="6.7109375" customWidth="1"/>
    <col min="10745" max="10745" width="7.42578125" customWidth="1"/>
    <col min="10753" max="10753" width="4.42578125" customWidth="1"/>
    <col min="10754" max="10754" width="7.42578125" customWidth="1"/>
    <col min="10755" max="10755" width="6.7109375" customWidth="1"/>
    <col min="10756" max="10756" width="26.42578125" customWidth="1"/>
    <col min="10757" max="10757" width="17.5703125" customWidth="1"/>
    <col min="10758" max="10758" width="13" bestFit="1" customWidth="1"/>
    <col min="10759" max="10759" width="11.28515625" customWidth="1"/>
    <col min="10760" max="10760" width="14.28515625" customWidth="1"/>
    <col min="10761" max="10761" width="12.7109375" customWidth="1"/>
    <col min="10762" max="10763" width="0" hidden="1" customWidth="1"/>
    <col min="10764" max="10764" width="8.5703125" customWidth="1"/>
    <col min="10765" max="10765" width="14.7109375" bestFit="1" customWidth="1"/>
    <col min="10766" max="10766" width="13.7109375" customWidth="1"/>
    <col min="10767" max="10767" width="16.28515625" bestFit="1" customWidth="1"/>
    <col min="10768" max="10768" width="14.85546875" customWidth="1"/>
    <col min="10769" max="10769" width="12.140625" customWidth="1"/>
    <col min="10770" max="10771" width="11.42578125" bestFit="1" customWidth="1"/>
    <col min="10772" max="10773" width="9.7109375" customWidth="1"/>
    <col min="10774" max="10774" width="15.85546875" customWidth="1"/>
    <col min="10775" max="10775" width="14.7109375" customWidth="1"/>
    <col min="10776" max="10776" width="14.85546875" customWidth="1"/>
    <col min="10777" max="10777" width="22.42578125" customWidth="1"/>
    <col min="10778" max="10778" width="2.85546875" customWidth="1"/>
    <col min="10779" max="10779" width="12.140625" bestFit="1" customWidth="1"/>
    <col min="10780" max="10991" width="9.140625" customWidth="1"/>
    <col min="10992" max="10992" width="4.42578125" customWidth="1"/>
    <col min="10993" max="10993" width="21.5703125" customWidth="1"/>
    <col min="10994" max="10994" width="17.28515625" customWidth="1"/>
    <col min="10995" max="10995" width="16.42578125" customWidth="1"/>
    <col min="10996" max="10996" width="9.85546875" customWidth="1"/>
    <col min="10997" max="10997" width="9.140625" customWidth="1"/>
    <col min="10998" max="10998" width="14.28515625" customWidth="1"/>
    <col min="10999" max="10999" width="8.42578125" customWidth="1"/>
    <col min="11000" max="11000" width="6.7109375" customWidth="1"/>
    <col min="11001" max="11001" width="7.42578125" customWidth="1"/>
    <col min="11009" max="11009" width="4.42578125" customWidth="1"/>
    <col min="11010" max="11010" width="7.42578125" customWidth="1"/>
    <col min="11011" max="11011" width="6.7109375" customWidth="1"/>
    <col min="11012" max="11012" width="26.42578125" customWidth="1"/>
    <col min="11013" max="11013" width="17.5703125" customWidth="1"/>
    <col min="11014" max="11014" width="13" bestFit="1" customWidth="1"/>
    <col min="11015" max="11015" width="11.28515625" customWidth="1"/>
    <col min="11016" max="11016" width="14.28515625" customWidth="1"/>
    <col min="11017" max="11017" width="12.7109375" customWidth="1"/>
    <col min="11018" max="11019" width="0" hidden="1" customWidth="1"/>
    <col min="11020" max="11020" width="8.5703125" customWidth="1"/>
    <col min="11021" max="11021" width="14.7109375" bestFit="1" customWidth="1"/>
    <col min="11022" max="11022" width="13.7109375" customWidth="1"/>
    <col min="11023" max="11023" width="16.28515625" bestFit="1" customWidth="1"/>
    <col min="11024" max="11024" width="14.85546875" customWidth="1"/>
    <col min="11025" max="11025" width="12.140625" customWidth="1"/>
    <col min="11026" max="11027" width="11.42578125" bestFit="1" customWidth="1"/>
    <col min="11028" max="11029" width="9.7109375" customWidth="1"/>
    <col min="11030" max="11030" width="15.85546875" customWidth="1"/>
    <col min="11031" max="11031" width="14.7109375" customWidth="1"/>
    <col min="11032" max="11032" width="14.85546875" customWidth="1"/>
    <col min="11033" max="11033" width="22.42578125" customWidth="1"/>
    <col min="11034" max="11034" width="2.85546875" customWidth="1"/>
    <col min="11035" max="11035" width="12.140625" bestFit="1" customWidth="1"/>
    <col min="11036" max="11247" width="9.140625" customWidth="1"/>
    <col min="11248" max="11248" width="4.42578125" customWidth="1"/>
    <col min="11249" max="11249" width="21.5703125" customWidth="1"/>
    <col min="11250" max="11250" width="17.28515625" customWidth="1"/>
    <col min="11251" max="11251" width="16.42578125" customWidth="1"/>
    <col min="11252" max="11252" width="9.85546875" customWidth="1"/>
    <col min="11253" max="11253" width="9.140625" customWidth="1"/>
    <col min="11254" max="11254" width="14.28515625" customWidth="1"/>
    <col min="11255" max="11255" width="8.42578125" customWidth="1"/>
    <col min="11256" max="11256" width="6.7109375" customWidth="1"/>
    <col min="11257" max="11257" width="7.42578125" customWidth="1"/>
    <col min="11265" max="11265" width="4.42578125" customWidth="1"/>
    <col min="11266" max="11266" width="7.42578125" customWidth="1"/>
    <col min="11267" max="11267" width="6.7109375" customWidth="1"/>
    <col min="11268" max="11268" width="26.42578125" customWidth="1"/>
    <col min="11269" max="11269" width="17.5703125" customWidth="1"/>
    <col min="11270" max="11270" width="13" bestFit="1" customWidth="1"/>
    <col min="11271" max="11271" width="11.28515625" customWidth="1"/>
    <col min="11272" max="11272" width="14.28515625" customWidth="1"/>
    <col min="11273" max="11273" width="12.7109375" customWidth="1"/>
    <col min="11274" max="11275" width="0" hidden="1" customWidth="1"/>
    <col min="11276" max="11276" width="8.5703125" customWidth="1"/>
    <col min="11277" max="11277" width="14.7109375" bestFit="1" customWidth="1"/>
    <col min="11278" max="11278" width="13.7109375" customWidth="1"/>
    <col min="11279" max="11279" width="16.28515625" bestFit="1" customWidth="1"/>
    <col min="11280" max="11280" width="14.85546875" customWidth="1"/>
    <col min="11281" max="11281" width="12.140625" customWidth="1"/>
    <col min="11282" max="11283" width="11.42578125" bestFit="1" customWidth="1"/>
    <col min="11284" max="11285" width="9.7109375" customWidth="1"/>
    <col min="11286" max="11286" width="15.85546875" customWidth="1"/>
    <col min="11287" max="11287" width="14.7109375" customWidth="1"/>
    <col min="11288" max="11288" width="14.85546875" customWidth="1"/>
    <col min="11289" max="11289" width="22.42578125" customWidth="1"/>
    <col min="11290" max="11290" width="2.85546875" customWidth="1"/>
    <col min="11291" max="11291" width="12.140625" bestFit="1" customWidth="1"/>
    <col min="11292" max="11503" width="9.140625" customWidth="1"/>
    <col min="11504" max="11504" width="4.42578125" customWidth="1"/>
    <col min="11505" max="11505" width="21.5703125" customWidth="1"/>
    <col min="11506" max="11506" width="17.28515625" customWidth="1"/>
    <col min="11507" max="11507" width="16.42578125" customWidth="1"/>
    <col min="11508" max="11508" width="9.85546875" customWidth="1"/>
    <col min="11509" max="11509" width="9.140625" customWidth="1"/>
    <col min="11510" max="11510" width="14.28515625" customWidth="1"/>
    <col min="11511" max="11511" width="8.42578125" customWidth="1"/>
    <col min="11512" max="11512" width="6.7109375" customWidth="1"/>
    <col min="11513" max="11513" width="7.42578125" customWidth="1"/>
    <col min="11521" max="11521" width="4.42578125" customWidth="1"/>
    <col min="11522" max="11522" width="7.42578125" customWidth="1"/>
    <col min="11523" max="11523" width="6.7109375" customWidth="1"/>
    <col min="11524" max="11524" width="26.42578125" customWidth="1"/>
    <col min="11525" max="11525" width="17.5703125" customWidth="1"/>
    <col min="11526" max="11526" width="13" bestFit="1" customWidth="1"/>
    <col min="11527" max="11527" width="11.28515625" customWidth="1"/>
    <col min="11528" max="11528" width="14.28515625" customWidth="1"/>
    <col min="11529" max="11529" width="12.7109375" customWidth="1"/>
    <col min="11530" max="11531" width="0" hidden="1" customWidth="1"/>
    <col min="11532" max="11532" width="8.5703125" customWidth="1"/>
    <col min="11533" max="11533" width="14.7109375" bestFit="1" customWidth="1"/>
    <col min="11534" max="11534" width="13.7109375" customWidth="1"/>
    <col min="11535" max="11535" width="16.28515625" bestFit="1" customWidth="1"/>
    <col min="11536" max="11536" width="14.85546875" customWidth="1"/>
    <col min="11537" max="11537" width="12.140625" customWidth="1"/>
    <col min="11538" max="11539" width="11.42578125" bestFit="1" customWidth="1"/>
    <col min="11540" max="11541" width="9.7109375" customWidth="1"/>
    <col min="11542" max="11542" width="15.85546875" customWidth="1"/>
    <col min="11543" max="11543" width="14.7109375" customWidth="1"/>
    <col min="11544" max="11544" width="14.85546875" customWidth="1"/>
    <col min="11545" max="11545" width="22.42578125" customWidth="1"/>
    <col min="11546" max="11546" width="2.85546875" customWidth="1"/>
    <col min="11547" max="11547" width="12.140625" bestFit="1" customWidth="1"/>
    <col min="11548" max="11759" width="9.140625" customWidth="1"/>
    <col min="11760" max="11760" width="4.42578125" customWidth="1"/>
    <col min="11761" max="11761" width="21.5703125" customWidth="1"/>
    <col min="11762" max="11762" width="17.28515625" customWidth="1"/>
    <col min="11763" max="11763" width="16.42578125" customWidth="1"/>
    <col min="11764" max="11764" width="9.85546875" customWidth="1"/>
    <col min="11765" max="11765" width="9.140625" customWidth="1"/>
    <col min="11766" max="11766" width="14.28515625" customWidth="1"/>
    <col min="11767" max="11767" width="8.42578125" customWidth="1"/>
    <col min="11768" max="11768" width="6.7109375" customWidth="1"/>
    <col min="11769" max="11769" width="7.42578125" customWidth="1"/>
    <col min="11777" max="11777" width="4.42578125" customWidth="1"/>
    <col min="11778" max="11778" width="7.42578125" customWidth="1"/>
    <col min="11779" max="11779" width="6.7109375" customWidth="1"/>
    <col min="11780" max="11780" width="26.42578125" customWidth="1"/>
    <col min="11781" max="11781" width="17.5703125" customWidth="1"/>
    <col min="11782" max="11782" width="13" bestFit="1" customWidth="1"/>
    <col min="11783" max="11783" width="11.28515625" customWidth="1"/>
    <col min="11784" max="11784" width="14.28515625" customWidth="1"/>
    <col min="11785" max="11785" width="12.7109375" customWidth="1"/>
    <col min="11786" max="11787" width="0" hidden="1" customWidth="1"/>
    <col min="11788" max="11788" width="8.5703125" customWidth="1"/>
    <col min="11789" max="11789" width="14.7109375" bestFit="1" customWidth="1"/>
    <col min="11790" max="11790" width="13.7109375" customWidth="1"/>
    <col min="11791" max="11791" width="16.28515625" bestFit="1" customWidth="1"/>
    <col min="11792" max="11792" width="14.85546875" customWidth="1"/>
    <col min="11793" max="11793" width="12.140625" customWidth="1"/>
    <col min="11794" max="11795" width="11.42578125" bestFit="1" customWidth="1"/>
    <col min="11796" max="11797" width="9.7109375" customWidth="1"/>
    <col min="11798" max="11798" width="15.85546875" customWidth="1"/>
    <col min="11799" max="11799" width="14.7109375" customWidth="1"/>
    <col min="11800" max="11800" width="14.85546875" customWidth="1"/>
    <col min="11801" max="11801" width="22.42578125" customWidth="1"/>
    <col min="11802" max="11802" width="2.85546875" customWidth="1"/>
    <col min="11803" max="11803" width="12.140625" bestFit="1" customWidth="1"/>
    <col min="11804" max="12015" width="9.140625" customWidth="1"/>
    <col min="12016" max="12016" width="4.42578125" customWidth="1"/>
    <col min="12017" max="12017" width="21.5703125" customWidth="1"/>
    <col min="12018" max="12018" width="17.28515625" customWidth="1"/>
    <col min="12019" max="12019" width="16.42578125" customWidth="1"/>
    <col min="12020" max="12020" width="9.85546875" customWidth="1"/>
    <col min="12021" max="12021" width="9.140625" customWidth="1"/>
    <col min="12022" max="12022" width="14.28515625" customWidth="1"/>
    <col min="12023" max="12023" width="8.42578125" customWidth="1"/>
    <col min="12024" max="12024" width="6.7109375" customWidth="1"/>
    <col min="12025" max="12025" width="7.42578125" customWidth="1"/>
    <col min="12033" max="12033" width="4.42578125" customWidth="1"/>
    <col min="12034" max="12034" width="7.42578125" customWidth="1"/>
    <col min="12035" max="12035" width="6.7109375" customWidth="1"/>
    <col min="12036" max="12036" width="26.42578125" customWidth="1"/>
    <col min="12037" max="12037" width="17.5703125" customWidth="1"/>
    <col min="12038" max="12038" width="13" bestFit="1" customWidth="1"/>
    <col min="12039" max="12039" width="11.28515625" customWidth="1"/>
    <col min="12040" max="12040" width="14.28515625" customWidth="1"/>
    <col min="12041" max="12041" width="12.7109375" customWidth="1"/>
    <col min="12042" max="12043" width="0" hidden="1" customWidth="1"/>
    <col min="12044" max="12044" width="8.5703125" customWidth="1"/>
    <col min="12045" max="12045" width="14.7109375" bestFit="1" customWidth="1"/>
    <col min="12046" max="12046" width="13.7109375" customWidth="1"/>
    <col min="12047" max="12047" width="16.28515625" bestFit="1" customWidth="1"/>
    <col min="12048" max="12048" width="14.85546875" customWidth="1"/>
    <col min="12049" max="12049" width="12.140625" customWidth="1"/>
    <col min="12050" max="12051" width="11.42578125" bestFit="1" customWidth="1"/>
    <col min="12052" max="12053" width="9.7109375" customWidth="1"/>
    <col min="12054" max="12054" width="15.85546875" customWidth="1"/>
    <col min="12055" max="12055" width="14.7109375" customWidth="1"/>
    <col min="12056" max="12056" width="14.85546875" customWidth="1"/>
    <col min="12057" max="12057" width="22.42578125" customWidth="1"/>
    <col min="12058" max="12058" width="2.85546875" customWidth="1"/>
    <col min="12059" max="12059" width="12.140625" bestFit="1" customWidth="1"/>
    <col min="12060" max="12271" width="9.140625" customWidth="1"/>
    <col min="12272" max="12272" width="4.42578125" customWidth="1"/>
    <col min="12273" max="12273" width="21.5703125" customWidth="1"/>
    <col min="12274" max="12274" width="17.28515625" customWidth="1"/>
    <col min="12275" max="12275" width="16.42578125" customWidth="1"/>
    <col min="12276" max="12276" width="9.85546875" customWidth="1"/>
    <col min="12277" max="12277" width="9.140625" customWidth="1"/>
    <col min="12278" max="12278" width="14.28515625" customWidth="1"/>
    <col min="12279" max="12279" width="8.42578125" customWidth="1"/>
    <col min="12280" max="12280" width="6.7109375" customWidth="1"/>
    <col min="12281" max="12281" width="7.42578125" customWidth="1"/>
    <col min="12289" max="12289" width="4.42578125" customWidth="1"/>
    <col min="12290" max="12290" width="7.42578125" customWidth="1"/>
    <col min="12291" max="12291" width="6.7109375" customWidth="1"/>
    <col min="12292" max="12292" width="26.42578125" customWidth="1"/>
    <col min="12293" max="12293" width="17.5703125" customWidth="1"/>
    <col min="12294" max="12294" width="13" bestFit="1" customWidth="1"/>
    <col min="12295" max="12295" width="11.28515625" customWidth="1"/>
    <col min="12296" max="12296" width="14.28515625" customWidth="1"/>
    <col min="12297" max="12297" width="12.7109375" customWidth="1"/>
    <col min="12298" max="12299" width="0" hidden="1" customWidth="1"/>
    <col min="12300" max="12300" width="8.5703125" customWidth="1"/>
    <col min="12301" max="12301" width="14.7109375" bestFit="1" customWidth="1"/>
    <col min="12302" max="12302" width="13.7109375" customWidth="1"/>
    <col min="12303" max="12303" width="16.28515625" bestFit="1" customWidth="1"/>
    <col min="12304" max="12304" width="14.85546875" customWidth="1"/>
    <col min="12305" max="12305" width="12.140625" customWidth="1"/>
    <col min="12306" max="12307" width="11.42578125" bestFit="1" customWidth="1"/>
    <col min="12308" max="12309" width="9.7109375" customWidth="1"/>
    <col min="12310" max="12310" width="15.85546875" customWidth="1"/>
    <col min="12311" max="12311" width="14.7109375" customWidth="1"/>
    <col min="12312" max="12312" width="14.85546875" customWidth="1"/>
    <col min="12313" max="12313" width="22.42578125" customWidth="1"/>
    <col min="12314" max="12314" width="2.85546875" customWidth="1"/>
    <col min="12315" max="12315" width="12.140625" bestFit="1" customWidth="1"/>
    <col min="12316" max="12527" width="9.140625" customWidth="1"/>
    <col min="12528" max="12528" width="4.42578125" customWidth="1"/>
    <col min="12529" max="12529" width="21.5703125" customWidth="1"/>
    <col min="12530" max="12530" width="17.28515625" customWidth="1"/>
    <col min="12531" max="12531" width="16.42578125" customWidth="1"/>
    <col min="12532" max="12532" width="9.85546875" customWidth="1"/>
    <col min="12533" max="12533" width="9.140625" customWidth="1"/>
    <col min="12534" max="12534" width="14.28515625" customWidth="1"/>
    <col min="12535" max="12535" width="8.42578125" customWidth="1"/>
    <col min="12536" max="12536" width="6.7109375" customWidth="1"/>
    <col min="12537" max="12537" width="7.42578125" customWidth="1"/>
    <col min="12545" max="12545" width="4.42578125" customWidth="1"/>
    <col min="12546" max="12546" width="7.42578125" customWidth="1"/>
    <col min="12547" max="12547" width="6.7109375" customWidth="1"/>
    <col min="12548" max="12548" width="26.42578125" customWidth="1"/>
    <col min="12549" max="12549" width="17.5703125" customWidth="1"/>
    <col min="12550" max="12550" width="13" bestFit="1" customWidth="1"/>
    <col min="12551" max="12551" width="11.28515625" customWidth="1"/>
    <col min="12552" max="12552" width="14.28515625" customWidth="1"/>
    <col min="12553" max="12553" width="12.7109375" customWidth="1"/>
    <col min="12554" max="12555" width="0" hidden="1" customWidth="1"/>
    <col min="12556" max="12556" width="8.5703125" customWidth="1"/>
    <col min="12557" max="12557" width="14.7109375" bestFit="1" customWidth="1"/>
    <col min="12558" max="12558" width="13.7109375" customWidth="1"/>
    <col min="12559" max="12559" width="16.28515625" bestFit="1" customWidth="1"/>
    <col min="12560" max="12560" width="14.85546875" customWidth="1"/>
    <col min="12561" max="12561" width="12.140625" customWidth="1"/>
    <col min="12562" max="12563" width="11.42578125" bestFit="1" customWidth="1"/>
    <col min="12564" max="12565" width="9.7109375" customWidth="1"/>
    <col min="12566" max="12566" width="15.85546875" customWidth="1"/>
    <col min="12567" max="12567" width="14.7109375" customWidth="1"/>
    <col min="12568" max="12568" width="14.85546875" customWidth="1"/>
    <col min="12569" max="12569" width="22.42578125" customWidth="1"/>
    <col min="12570" max="12570" width="2.85546875" customWidth="1"/>
    <col min="12571" max="12571" width="12.140625" bestFit="1" customWidth="1"/>
    <col min="12572" max="12783" width="9.140625" customWidth="1"/>
    <col min="12784" max="12784" width="4.42578125" customWidth="1"/>
    <col min="12785" max="12785" width="21.5703125" customWidth="1"/>
    <col min="12786" max="12786" width="17.28515625" customWidth="1"/>
    <col min="12787" max="12787" width="16.42578125" customWidth="1"/>
    <col min="12788" max="12788" width="9.85546875" customWidth="1"/>
    <col min="12789" max="12789" width="9.140625" customWidth="1"/>
    <col min="12790" max="12790" width="14.28515625" customWidth="1"/>
    <col min="12791" max="12791" width="8.42578125" customWidth="1"/>
    <col min="12792" max="12792" width="6.7109375" customWidth="1"/>
    <col min="12793" max="12793" width="7.42578125" customWidth="1"/>
    <col min="12801" max="12801" width="4.42578125" customWidth="1"/>
    <col min="12802" max="12802" width="7.42578125" customWidth="1"/>
    <col min="12803" max="12803" width="6.7109375" customWidth="1"/>
    <col min="12804" max="12804" width="26.42578125" customWidth="1"/>
    <col min="12805" max="12805" width="17.5703125" customWidth="1"/>
    <col min="12806" max="12806" width="13" bestFit="1" customWidth="1"/>
    <col min="12807" max="12807" width="11.28515625" customWidth="1"/>
    <col min="12808" max="12808" width="14.28515625" customWidth="1"/>
    <col min="12809" max="12809" width="12.7109375" customWidth="1"/>
    <col min="12810" max="12811" width="0" hidden="1" customWidth="1"/>
    <col min="12812" max="12812" width="8.5703125" customWidth="1"/>
    <col min="12813" max="12813" width="14.7109375" bestFit="1" customWidth="1"/>
    <col min="12814" max="12814" width="13.7109375" customWidth="1"/>
    <col min="12815" max="12815" width="16.28515625" bestFit="1" customWidth="1"/>
    <col min="12816" max="12816" width="14.85546875" customWidth="1"/>
    <col min="12817" max="12817" width="12.140625" customWidth="1"/>
    <col min="12818" max="12819" width="11.42578125" bestFit="1" customWidth="1"/>
    <col min="12820" max="12821" width="9.7109375" customWidth="1"/>
    <col min="12822" max="12822" width="15.85546875" customWidth="1"/>
    <col min="12823" max="12823" width="14.7109375" customWidth="1"/>
    <col min="12824" max="12824" width="14.85546875" customWidth="1"/>
    <col min="12825" max="12825" width="22.42578125" customWidth="1"/>
    <col min="12826" max="12826" width="2.85546875" customWidth="1"/>
    <col min="12827" max="12827" width="12.140625" bestFit="1" customWidth="1"/>
    <col min="12828" max="13039" width="9.140625" customWidth="1"/>
    <col min="13040" max="13040" width="4.42578125" customWidth="1"/>
    <col min="13041" max="13041" width="21.5703125" customWidth="1"/>
    <col min="13042" max="13042" width="17.28515625" customWidth="1"/>
    <col min="13043" max="13043" width="16.42578125" customWidth="1"/>
    <col min="13044" max="13044" width="9.85546875" customWidth="1"/>
    <col min="13045" max="13045" width="9.140625" customWidth="1"/>
    <col min="13046" max="13046" width="14.28515625" customWidth="1"/>
    <col min="13047" max="13047" width="8.42578125" customWidth="1"/>
    <col min="13048" max="13048" width="6.7109375" customWidth="1"/>
    <col min="13049" max="13049" width="7.42578125" customWidth="1"/>
    <col min="13057" max="13057" width="4.42578125" customWidth="1"/>
    <col min="13058" max="13058" width="7.42578125" customWidth="1"/>
    <col min="13059" max="13059" width="6.7109375" customWidth="1"/>
    <col min="13060" max="13060" width="26.42578125" customWidth="1"/>
    <col min="13061" max="13061" width="17.5703125" customWidth="1"/>
    <col min="13062" max="13062" width="13" bestFit="1" customWidth="1"/>
    <col min="13063" max="13063" width="11.28515625" customWidth="1"/>
    <col min="13064" max="13064" width="14.28515625" customWidth="1"/>
    <col min="13065" max="13065" width="12.7109375" customWidth="1"/>
    <col min="13066" max="13067" width="0" hidden="1" customWidth="1"/>
    <col min="13068" max="13068" width="8.5703125" customWidth="1"/>
    <col min="13069" max="13069" width="14.7109375" bestFit="1" customWidth="1"/>
    <col min="13070" max="13070" width="13.7109375" customWidth="1"/>
    <col min="13071" max="13071" width="16.28515625" bestFit="1" customWidth="1"/>
    <col min="13072" max="13072" width="14.85546875" customWidth="1"/>
    <col min="13073" max="13073" width="12.140625" customWidth="1"/>
    <col min="13074" max="13075" width="11.42578125" bestFit="1" customWidth="1"/>
    <col min="13076" max="13077" width="9.7109375" customWidth="1"/>
    <col min="13078" max="13078" width="15.85546875" customWidth="1"/>
    <col min="13079" max="13079" width="14.7109375" customWidth="1"/>
    <col min="13080" max="13080" width="14.85546875" customWidth="1"/>
    <col min="13081" max="13081" width="22.42578125" customWidth="1"/>
    <col min="13082" max="13082" width="2.85546875" customWidth="1"/>
    <col min="13083" max="13083" width="12.140625" bestFit="1" customWidth="1"/>
    <col min="13084" max="13295" width="9.140625" customWidth="1"/>
    <col min="13296" max="13296" width="4.42578125" customWidth="1"/>
    <col min="13297" max="13297" width="21.5703125" customWidth="1"/>
    <col min="13298" max="13298" width="17.28515625" customWidth="1"/>
    <col min="13299" max="13299" width="16.42578125" customWidth="1"/>
    <col min="13300" max="13300" width="9.85546875" customWidth="1"/>
    <col min="13301" max="13301" width="9.140625" customWidth="1"/>
    <col min="13302" max="13302" width="14.28515625" customWidth="1"/>
    <col min="13303" max="13303" width="8.42578125" customWidth="1"/>
    <col min="13304" max="13304" width="6.7109375" customWidth="1"/>
    <col min="13305" max="13305" width="7.42578125" customWidth="1"/>
    <col min="13313" max="13313" width="4.42578125" customWidth="1"/>
    <col min="13314" max="13314" width="7.42578125" customWidth="1"/>
    <col min="13315" max="13315" width="6.7109375" customWidth="1"/>
    <col min="13316" max="13316" width="26.42578125" customWidth="1"/>
    <col min="13317" max="13317" width="17.5703125" customWidth="1"/>
    <col min="13318" max="13318" width="13" bestFit="1" customWidth="1"/>
    <col min="13319" max="13319" width="11.28515625" customWidth="1"/>
    <col min="13320" max="13320" width="14.28515625" customWidth="1"/>
    <col min="13321" max="13321" width="12.7109375" customWidth="1"/>
    <col min="13322" max="13323" width="0" hidden="1" customWidth="1"/>
    <col min="13324" max="13324" width="8.5703125" customWidth="1"/>
    <col min="13325" max="13325" width="14.7109375" bestFit="1" customWidth="1"/>
    <col min="13326" max="13326" width="13.7109375" customWidth="1"/>
    <col min="13327" max="13327" width="16.28515625" bestFit="1" customWidth="1"/>
    <col min="13328" max="13328" width="14.85546875" customWidth="1"/>
    <col min="13329" max="13329" width="12.140625" customWidth="1"/>
    <col min="13330" max="13331" width="11.42578125" bestFit="1" customWidth="1"/>
    <col min="13332" max="13333" width="9.7109375" customWidth="1"/>
    <col min="13334" max="13334" width="15.85546875" customWidth="1"/>
    <col min="13335" max="13335" width="14.7109375" customWidth="1"/>
    <col min="13336" max="13336" width="14.85546875" customWidth="1"/>
    <col min="13337" max="13337" width="22.42578125" customWidth="1"/>
    <col min="13338" max="13338" width="2.85546875" customWidth="1"/>
    <col min="13339" max="13339" width="12.140625" bestFit="1" customWidth="1"/>
    <col min="13340" max="13551" width="9.140625" customWidth="1"/>
    <col min="13552" max="13552" width="4.42578125" customWidth="1"/>
    <col min="13553" max="13553" width="21.5703125" customWidth="1"/>
    <col min="13554" max="13554" width="17.28515625" customWidth="1"/>
    <col min="13555" max="13555" width="16.42578125" customWidth="1"/>
    <col min="13556" max="13556" width="9.85546875" customWidth="1"/>
    <col min="13557" max="13557" width="9.140625" customWidth="1"/>
    <col min="13558" max="13558" width="14.28515625" customWidth="1"/>
    <col min="13559" max="13559" width="8.42578125" customWidth="1"/>
    <col min="13560" max="13560" width="6.7109375" customWidth="1"/>
    <col min="13561" max="13561" width="7.42578125" customWidth="1"/>
    <col min="13569" max="13569" width="4.42578125" customWidth="1"/>
    <col min="13570" max="13570" width="7.42578125" customWidth="1"/>
    <col min="13571" max="13571" width="6.7109375" customWidth="1"/>
    <col min="13572" max="13572" width="26.42578125" customWidth="1"/>
    <col min="13573" max="13573" width="17.5703125" customWidth="1"/>
    <col min="13574" max="13574" width="13" bestFit="1" customWidth="1"/>
    <col min="13575" max="13575" width="11.28515625" customWidth="1"/>
    <col min="13576" max="13576" width="14.28515625" customWidth="1"/>
    <col min="13577" max="13577" width="12.7109375" customWidth="1"/>
    <col min="13578" max="13579" width="0" hidden="1" customWidth="1"/>
    <col min="13580" max="13580" width="8.5703125" customWidth="1"/>
    <col min="13581" max="13581" width="14.7109375" bestFit="1" customWidth="1"/>
    <col min="13582" max="13582" width="13.7109375" customWidth="1"/>
    <col min="13583" max="13583" width="16.28515625" bestFit="1" customWidth="1"/>
    <col min="13584" max="13584" width="14.85546875" customWidth="1"/>
    <col min="13585" max="13585" width="12.140625" customWidth="1"/>
    <col min="13586" max="13587" width="11.42578125" bestFit="1" customWidth="1"/>
    <col min="13588" max="13589" width="9.7109375" customWidth="1"/>
    <col min="13590" max="13590" width="15.85546875" customWidth="1"/>
    <col min="13591" max="13591" width="14.7109375" customWidth="1"/>
    <col min="13592" max="13592" width="14.85546875" customWidth="1"/>
    <col min="13593" max="13593" width="22.42578125" customWidth="1"/>
    <col min="13594" max="13594" width="2.85546875" customWidth="1"/>
    <col min="13595" max="13595" width="12.140625" bestFit="1" customWidth="1"/>
    <col min="13596" max="13807" width="9.140625" customWidth="1"/>
    <col min="13808" max="13808" width="4.42578125" customWidth="1"/>
    <col min="13809" max="13809" width="21.5703125" customWidth="1"/>
    <col min="13810" max="13810" width="17.28515625" customWidth="1"/>
    <col min="13811" max="13811" width="16.42578125" customWidth="1"/>
    <col min="13812" max="13812" width="9.85546875" customWidth="1"/>
    <col min="13813" max="13813" width="9.140625" customWidth="1"/>
    <col min="13814" max="13814" width="14.28515625" customWidth="1"/>
    <col min="13815" max="13815" width="8.42578125" customWidth="1"/>
    <col min="13816" max="13816" width="6.7109375" customWidth="1"/>
    <col min="13817" max="13817" width="7.42578125" customWidth="1"/>
    <col min="13825" max="13825" width="4.42578125" customWidth="1"/>
    <col min="13826" max="13826" width="7.42578125" customWidth="1"/>
    <col min="13827" max="13827" width="6.7109375" customWidth="1"/>
    <col min="13828" max="13828" width="26.42578125" customWidth="1"/>
    <col min="13829" max="13829" width="17.5703125" customWidth="1"/>
    <col min="13830" max="13830" width="13" bestFit="1" customWidth="1"/>
    <col min="13831" max="13831" width="11.28515625" customWidth="1"/>
    <col min="13832" max="13832" width="14.28515625" customWidth="1"/>
    <col min="13833" max="13833" width="12.7109375" customWidth="1"/>
    <col min="13834" max="13835" width="0" hidden="1" customWidth="1"/>
    <col min="13836" max="13836" width="8.5703125" customWidth="1"/>
    <col min="13837" max="13837" width="14.7109375" bestFit="1" customWidth="1"/>
    <col min="13838" max="13838" width="13.7109375" customWidth="1"/>
    <col min="13839" max="13839" width="16.28515625" bestFit="1" customWidth="1"/>
    <col min="13840" max="13840" width="14.85546875" customWidth="1"/>
    <col min="13841" max="13841" width="12.140625" customWidth="1"/>
    <col min="13842" max="13843" width="11.42578125" bestFit="1" customWidth="1"/>
    <col min="13844" max="13845" width="9.7109375" customWidth="1"/>
    <col min="13846" max="13846" width="15.85546875" customWidth="1"/>
    <col min="13847" max="13847" width="14.7109375" customWidth="1"/>
    <col min="13848" max="13848" width="14.85546875" customWidth="1"/>
    <col min="13849" max="13849" width="22.42578125" customWidth="1"/>
    <col min="13850" max="13850" width="2.85546875" customWidth="1"/>
    <col min="13851" max="13851" width="12.140625" bestFit="1" customWidth="1"/>
    <col min="13852" max="14063" width="9.140625" customWidth="1"/>
    <col min="14064" max="14064" width="4.42578125" customWidth="1"/>
    <col min="14065" max="14065" width="21.5703125" customWidth="1"/>
    <col min="14066" max="14066" width="17.28515625" customWidth="1"/>
    <col min="14067" max="14067" width="16.42578125" customWidth="1"/>
    <col min="14068" max="14068" width="9.85546875" customWidth="1"/>
    <col min="14069" max="14069" width="9.140625" customWidth="1"/>
    <col min="14070" max="14070" width="14.28515625" customWidth="1"/>
    <col min="14071" max="14071" width="8.42578125" customWidth="1"/>
    <col min="14072" max="14072" width="6.7109375" customWidth="1"/>
    <col min="14073" max="14073" width="7.42578125" customWidth="1"/>
    <col min="14081" max="14081" width="4.42578125" customWidth="1"/>
    <col min="14082" max="14082" width="7.42578125" customWidth="1"/>
    <col min="14083" max="14083" width="6.7109375" customWidth="1"/>
    <col min="14084" max="14084" width="26.42578125" customWidth="1"/>
    <col min="14085" max="14085" width="17.5703125" customWidth="1"/>
    <col min="14086" max="14086" width="13" bestFit="1" customWidth="1"/>
    <col min="14087" max="14087" width="11.28515625" customWidth="1"/>
    <col min="14088" max="14088" width="14.28515625" customWidth="1"/>
    <col min="14089" max="14089" width="12.7109375" customWidth="1"/>
    <col min="14090" max="14091" width="0" hidden="1" customWidth="1"/>
    <col min="14092" max="14092" width="8.5703125" customWidth="1"/>
    <col min="14093" max="14093" width="14.7109375" bestFit="1" customWidth="1"/>
    <col min="14094" max="14094" width="13.7109375" customWidth="1"/>
    <col min="14095" max="14095" width="16.28515625" bestFit="1" customWidth="1"/>
    <col min="14096" max="14096" width="14.85546875" customWidth="1"/>
    <col min="14097" max="14097" width="12.140625" customWidth="1"/>
    <col min="14098" max="14099" width="11.42578125" bestFit="1" customWidth="1"/>
    <col min="14100" max="14101" width="9.7109375" customWidth="1"/>
    <col min="14102" max="14102" width="15.85546875" customWidth="1"/>
    <col min="14103" max="14103" width="14.7109375" customWidth="1"/>
    <col min="14104" max="14104" width="14.85546875" customWidth="1"/>
    <col min="14105" max="14105" width="22.42578125" customWidth="1"/>
    <col min="14106" max="14106" width="2.85546875" customWidth="1"/>
    <col min="14107" max="14107" width="12.140625" bestFit="1" customWidth="1"/>
    <col min="14108" max="14319" width="9.140625" customWidth="1"/>
    <col min="14320" max="14320" width="4.42578125" customWidth="1"/>
    <col min="14321" max="14321" width="21.5703125" customWidth="1"/>
    <col min="14322" max="14322" width="17.28515625" customWidth="1"/>
    <col min="14323" max="14323" width="16.42578125" customWidth="1"/>
    <col min="14324" max="14324" width="9.85546875" customWidth="1"/>
    <col min="14325" max="14325" width="9.140625" customWidth="1"/>
    <col min="14326" max="14326" width="14.28515625" customWidth="1"/>
    <col min="14327" max="14327" width="8.42578125" customWidth="1"/>
    <col min="14328" max="14328" width="6.7109375" customWidth="1"/>
    <col min="14329" max="14329" width="7.42578125" customWidth="1"/>
    <col min="14337" max="14337" width="4.42578125" customWidth="1"/>
    <col min="14338" max="14338" width="7.42578125" customWidth="1"/>
    <col min="14339" max="14339" width="6.7109375" customWidth="1"/>
    <col min="14340" max="14340" width="26.42578125" customWidth="1"/>
    <col min="14341" max="14341" width="17.5703125" customWidth="1"/>
    <col min="14342" max="14342" width="13" bestFit="1" customWidth="1"/>
    <col min="14343" max="14343" width="11.28515625" customWidth="1"/>
    <col min="14344" max="14344" width="14.28515625" customWidth="1"/>
    <col min="14345" max="14345" width="12.7109375" customWidth="1"/>
    <col min="14346" max="14347" width="0" hidden="1" customWidth="1"/>
    <col min="14348" max="14348" width="8.5703125" customWidth="1"/>
    <col min="14349" max="14349" width="14.7109375" bestFit="1" customWidth="1"/>
    <col min="14350" max="14350" width="13.7109375" customWidth="1"/>
    <col min="14351" max="14351" width="16.28515625" bestFit="1" customWidth="1"/>
    <col min="14352" max="14352" width="14.85546875" customWidth="1"/>
    <col min="14353" max="14353" width="12.140625" customWidth="1"/>
    <col min="14354" max="14355" width="11.42578125" bestFit="1" customWidth="1"/>
    <col min="14356" max="14357" width="9.7109375" customWidth="1"/>
    <col min="14358" max="14358" width="15.85546875" customWidth="1"/>
    <col min="14359" max="14359" width="14.7109375" customWidth="1"/>
    <col min="14360" max="14360" width="14.85546875" customWidth="1"/>
    <col min="14361" max="14361" width="22.42578125" customWidth="1"/>
    <col min="14362" max="14362" width="2.85546875" customWidth="1"/>
    <col min="14363" max="14363" width="12.140625" bestFit="1" customWidth="1"/>
    <col min="14364" max="14575" width="9.140625" customWidth="1"/>
    <col min="14576" max="14576" width="4.42578125" customWidth="1"/>
    <col min="14577" max="14577" width="21.5703125" customWidth="1"/>
    <col min="14578" max="14578" width="17.28515625" customWidth="1"/>
    <col min="14579" max="14579" width="16.42578125" customWidth="1"/>
    <col min="14580" max="14580" width="9.85546875" customWidth="1"/>
    <col min="14581" max="14581" width="9.140625" customWidth="1"/>
    <col min="14582" max="14582" width="14.28515625" customWidth="1"/>
    <col min="14583" max="14583" width="8.42578125" customWidth="1"/>
    <col min="14584" max="14584" width="6.7109375" customWidth="1"/>
    <col min="14585" max="14585" width="7.42578125" customWidth="1"/>
    <col min="14593" max="14593" width="4.42578125" customWidth="1"/>
    <col min="14594" max="14594" width="7.42578125" customWidth="1"/>
    <col min="14595" max="14595" width="6.7109375" customWidth="1"/>
    <col min="14596" max="14596" width="26.42578125" customWidth="1"/>
    <col min="14597" max="14597" width="17.5703125" customWidth="1"/>
    <col min="14598" max="14598" width="13" bestFit="1" customWidth="1"/>
    <col min="14599" max="14599" width="11.28515625" customWidth="1"/>
    <col min="14600" max="14600" width="14.28515625" customWidth="1"/>
    <col min="14601" max="14601" width="12.7109375" customWidth="1"/>
    <col min="14602" max="14603" width="0" hidden="1" customWidth="1"/>
    <col min="14604" max="14604" width="8.5703125" customWidth="1"/>
    <col min="14605" max="14605" width="14.7109375" bestFit="1" customWidth="1"/>
    <col min="14606" max="14606" width="13.7109375" customWidth="1"/>
    <col min="14607" max="14607" width="16.28515625" bestFit="1" customWidth="1"/>
    <col min="14608" max="14608" width="14.85546875" customWidth="1"/>
    <col min="14609" max="14609" width="12.140625" customWidth="1"/>
    <col min="14610" max="14611" width="11.42578125" bestFit="1" customWidth="1"/>
    <col min="14612" max="14613" width="9.7109375" customWidth="1"/>
    <col min="14614" max="14614" width="15.85546875" customWidth="1"/>
    <col min="14615" max="14615" width="14.7109375" customWidth="1"/>
    <col min="14616" max="14616" width="14.85546875" customWidth="1"/>
    <col min="14617" max="14617" width="22.42578125" customWidth="1"/>
    <col min="14618" max="14618" width="2.85546875" customWidth="1"/>
    <col min="14619" max="14619" width="12.140625" bestFit="1" customWidth="1"/>
    <col min="14620" max="14831" width="9.140625" customWidth="1"/>
    <col min="14832" max="14832" width="4.42578125" customWidth="1"/>
    <col min="14833" max="14833" width="21.5703125" customWidth="1"/>
    <col min="14834" max="14834" width="17.28515625" customWidth="1"/>
    <col min="14835" max="14835" width="16.42578125" customWidth="1"/>
    <col min="14836" max="14836" width="9.85546875" customWidth="1"/>
    <col min="14837" max="14837" width="9.140625" customWidth="1"/>
    <col min="14838" max="14838" width="14.28515625" customWidth="1"/>
    <col min="14839" max="14839" width="8.42578125" customWidth="1"/>
    <col min="14840" max="14840" width="6.7109375" customWidth="1"/>
    <col min="14841" max="14841" width="7.42578125" customWidth="1"/>
    <col min="14849" max="14849" width="4.42578125" customWidth="1"/>
    <col min="14850" max="14850" width="7.42578125" customWidth="1"/>
    <col min="14851" max="14851" width="6.7109375" customWidth="1"/>
    <col min="14852" max="14852" width="26.42578125" customWidth="1"/>
    <col min="14853" max="14853" width="17.5703125" customWidth="1"/>
    <col min="14854" max="14854" width="13" bestFit="1" customWidth="1"/>
    <col min="14855" max="14855" width="11.28515625" customWidth="1"/>
    <col min="14856" max="14856" width="14.28515625" customWidth="1"/>
    <col min="14857" max="14857" width="12.7109375" customWidth="1"/>
    <col min="14858" max="14859" width="0" hidden="1" customWidth="1"/>
    <col min="14860" max="14860" width="8.5703125" customWidth="1"/>
    <col min="14861" max="14861" width="14.7109375" bestFit="1" customWidth="1"/>
    <col min="14862" max="14862" width="13.7109375" customWidth="1"/>
    <col min="14863" max="14863" width="16.28515625" bestFit="1" customWidth="1"/>
    <col min="14864" max="14864" width="14.85546875" customWidth="1"/>
    <col min="14865" max="14865" width="12.140625" customWidth="1"/>
    <col min="14866" max="14867" width="11.42578125" bestFit="1" customWidth="1"/>
    <col min="14868" max="14869" width="9.7109375" customWidth="1"/>
    <col min="14870" max="14870" width="15.85546875" customWidth="1"/>
    <col min="14871" max="14871" width="14.7109375" customWidth="1"/>
    <col min="14872" max="14872" width="14.85546875" customWidth="1"/>
    <col min="14873" max="14873" width="22.42578125" customWidth="1"/>
    <col min="14874" max="14874" width="2.85546875" customWidth="1"/>
    <col min="14875" max="14875" width="12.140625" bestFit="1" customWidth="1"/>
    <col min="14876" max="15087" width="9.140625" customWidth="1"/>
    <col min="15088" max="15088" width="4.42578125" customWidth="1"/>
    <col min="15089" max="15089" width="21.5703125" customWidth="1"/>
    <col min="15090" max="15090" width="17.28515625" customWidth="1"/>
    <col min="15091" max="15091" width="16.42578125" customWidth="1"/>
    <col min="15092" max="15092" width="9.85546875" customWidth="1"/>
    <col min="15093" max="15093" width="9.140625" customWidth="1"/>
    <col min="15094" max="15094" width="14.28515625" customWidth="1"/>
    <col min="15095" max="15095" width="8.42578125" customWidth="1"/>
    <col min="15096" max="15096" width="6.7109375" customWidth="1"/>
    <col min="15097" max="15097" width="7.42578125" customWidth="1"/>
    <col min="15105" max="15105" width="4.42578125" customWidth="1"/>
    <col min="15106" max="15106" width="7.42578125" customWidth="1"/>
    <col min="15107" max="15107" width="6.7109375" customWidth="1"/>
    <col min="15108" max="15108" width="26.42578125" customWidth="1"/>
    <col min="15109" max="15109" width="17.5703125" customWidth="1"/>
    <col min="15110" max="15110" width="13" bestFit="1" customWidth="1"/>
    <col min="15111" max="15111" width="11.28515625" customWidth="1"/>
    <col min="15112" max="15112" width="14.28515625" customWidth="1"/>
    <col min="15113" max="15113" width="12.7109375" customWidth="1"/>
    <col min="15114" max="15115" width="0" hidden="1" customWidth="1"/>
    <col min="15116" max="15116" width="8.5703125" customWidth="1"/>
    <col min="15117" max="15117" width="14.7109375" bestFit="1" customWidth="1"/>
    <col min="15118" max="15118" width="13.7109375" customWidth="1"/>
    <col min="15119" max="15119" width="16.28515625" bestFit="1" customWidth="1"/>
    <col min="15120" max="15120" width="14.85546875" customWidth="1"/>
    <col min="15121" max="15121" width="12.140625" customWidth="1"/>
    <col min="15122" max="15123" width="11.42578125" bestFit="1" customWidth="1"/>
    <col min="15124" max="15125" width="9.7109375" customWidth="1"/>
    <col min="15126" max="15126" width="15.85546875" customWidth="1"/>
    <col min="15127" max="15127" width="14.7109375" customWidth="1"/>
    <col min="15128" max="15128" width="14.85546875" customWidth="1"/>
    <col min="15129" max="15129" width="22.42578125" customWidth="1"/>
    <col min="15130" max="15130" width="2.85546875" customWidth="1"/>
    <col min="15131" max="15131" width="12.140625" bestFit="1" customWidth="1"/>
    <col min="15132" max="15343" width="9.140625" customWidth="1"/>
    <col min="15344" max="15344" width="4.42578125" customWidth="1"/>
    <col min="15345" max="15345" width="21.5703125" customWidth="1"/>
    <col min="15346" max="15346" width="17.28515625" customWidth="1"/>
    <col min="15347" max="15347" width="16.42578125" customWidth="1"/>
    <col min="15348" max="15348" width="9.85546875" customWidth="1"/>
    <col min="15349" max="15349" width="9.140625" customWidth="1"/>
    <col min="15350" max="15350" width="14.28515625" customWidth="1"/>
    <col min="15351" max="15351" width="8.42578125" customWidth="1"/>
    <col min="15352" max="15352" width="6.7109375" customWidth="1"/>
    <col min="15353" max="15353" width="7.42578125" customWidth="1"/>
    <col min="15361" max="15361" width="4.42578125" customWidth="1"/>
    <col min="15362" max="15362" width="7.42578125" customWidth="1"/>
    <col min="15363" max="15363" width="6.7109375" customWidth="1"/>
    <col min="15364" max="15364" width="26.42578125" customWidth="1"/>
    <col min="15365" max="15365" width="17.5703125" customWidth="1"/>
    <col min="15366" max="15366" width="13" bestFit="1" customWidth="1"/>
    <col min="15367" max="15367" width="11.28515625" customWidth="1"/>
    <col min="15368" max="15368" width="14.28515625" customWidth="1"/>
    <col min="15369" max="15369" width="12.7109375" customWidth="1"/>
    <col min="15370" max="15371" width="0" hidden="1" customWidth="1"/>
    <col min="15372" max="15372" width="8.5703125" customWidth="1"/>
    <col min="15373" max="15373" width="14.7109375" bestFit="1" customWidth="1"/>
    <col min="15374" max="15374" width="13.7109375" customWidth="1"/>
    <col min="15375" max="15375" width="16.28515625" bestFit="1" customWidth="1"/>
    <col min="15376" max="15376" width="14.85546875" customWidth="1"/>
    <col min="15377" max="15377" width="12.140625" customWidth="1"/>
    <col min="15378" max="15379" width="11.42578125" bestFit="1" customWidth="1"/>
    <col min="15380" max="15381" width="9.7109375" customWidth="1"/>
    <col min="15382" max="15382" width="15.85546875" customWidth="1"/>
    <col min="15383" max="15383" width="14.7109375" customWidth="1"/>
    <col min="15384" max="15384" width="14.85546875" customWidth="1"/>
    <col min="15385" max="15385" width="22.42578125" customWidth="1"/>
    <col min="15386" max="15386" width="2.85546875" customWidth="1"/>
    <col min="15387" max="15387" width="12.140625" bestFit="1" customWidth="1"/>
    <col min="15388" max="15599" width="9.140625" customWidth="1"/>
    <col min="15600" max="15600" width="4.42578125" customWidth="1"/>
    <col min="15601" max="15601" width="21.5703125" customWidth="1"/>
    <col min="15602" max="15602" width="17.28515625" customWidth="1"/>
    <col min="15603" max="15603" width="16.42578125" customWidth="1"/>
    <col min="15604" max="15604" width="9.85546875" customWidth="1"/>
    <col min="15605" max="15605" width="9.140625" customWidth="1"/>
    <col min="15606" max="15606" width="14.28515625" customWidth="1"/>
    <col min="15607" max="15607" width="8.42578125" customWidth="1"/>
    <col min="15608" max="15608" width="6.7109375" customWidth="1"/>
    <col min="15609" max="15609" width="7.42578125" customWidth="1"/>
    <col min="15617" max="15617" width="4.42578125" customWidth="1"/>
    <col min="15618" max="15618" width="7.42578125" customWidth="1"/>
    <col min="15619" max="15619" width="6.7109375" customWidth="1"/>
    <col min="15620" max="15620" width="26.42578125" customWidth="1"/>
    <col min="15621" max="15621" width="17.5703125" customWidth="1"/>
    <col min="15622" max="15622" width="13" bestFit="1" customWidth="1"/>
    <col min="15623" max="15623" width="11.28515625" customWidth="1"/>
    <col min="15624" max="15624" width="14.28515625" customWidth="1"/>
    <col min="15625" max="15625" width="12.7109375" customWidth="1"/>
    <col min="15626" max="15627" width="0" hidden="1" customWidth="1"/>
    <col min="15628" max="15628" width="8.5703125" customWidth="1"/>
    <col min="15629" max="15629" width="14.7109375" bestFit="1" customWidth="1"/>
    <col min="15630" max="15630" width="13.7109375" customWidth="1"/>
    <col min="15631" max="15631" width="16.28515625" bestFit="1" customWidth="1"/>
    <col min="15632" max="15632" width="14.85546875" customWidth="1"/>
    <col min="15633" max="15633" width="12.140625" customWidth="1"/>
    <col min="15634" max="15635" width="11.42578125" bestFit="1" customWidth="1"/>
    <col min="15636" max="15637" width="9.7109375" customWidth="1"/>
    <col min="15638" max="15638" width="15.85546875" customWidth="1"/>
    <col min="15639" max="15639" width="14.7109375" customWidth="1"/>
    <col min="15640" max="15640" width="14.85546875" customWidth="1"/>
    <col min="15641" max="15641" width="22.42578125" customWidth="1"/>
    <col min="15642" max="15642" width="2.85546875" customWidth="1"/>
    <col min="15643" max="15643" width="12.140625" bestFit="1" customWidth="1"/>
    <col min="15644" max="15855" width="9.140625" customWidth="1"/>
    <col min="15856" max="15856" width="4.42578125" customWidth="1"/>
    <col min="15857" max="15857" width="21.5703125" customWidth="1"/>
    <col min="15858" max="15858" width="17.28515625" customWidth="1"/>
    <col min="15859" max="15859" width="16.42578125" customWidth="1"/>
    <col min="15860" max="15860" width="9.85546875" customWidth="1"/>
    <col min="15861" max="15861" width="9.140625" customWidth="1"/>
    <col min="15862" max="15862" width="14.28515625" customWidth="1"/>
    <col min="15863" max="15863" width="8.42578125" customWidth="1"/>
    <col min="15864" max="15864" width="6.7109375" customWidth="1"/>
    <col min="15865" max="15865" width="7.42578125" customWidth="1"/>
    <col min="15873" max="15873" width="4.42578125" customWidth="1"/>
    <col min="15874" max="15874" width="7.42578125" customWidth="1"/>
    <col min="15875" max="15875" width="6.7109375" customWidth="1"/>
    <col min="15876" max="15876" width="26.42578125" customWidth="1"/>
    <col min="15877" max="15877" width="17.5703125" customWidth="1"/>
    <col min="15878" max="15878" width="13" bestFit="1" customWidth="1"/>
    <col min="15879" max="15879" width="11.28515625" customWidth="1"/>
    <col min="15880" max="15880" width="14.28515625" customWidth="1"/>
    <col min="15881" max="15881" width="12.7109375" customWidth="1"/>
    <col min="15882" max="15883" width="0" hidden="1" customWidth="1"/>
    <col min="15884" max="15884" width="8.5703125" customWidth="1"/>
    <col min="15885" max="15885" width="14.7109375" bestFit="1" customWidth="1"/>
    <col min="15886" max="15886" width="13.7109375" customWidth="1"/>
    <col min="15887" max="15887" width="16.28515625" bestFit="1" customWidth="1"/>
    <col min="15888" max="15888" width="14.85546875" customWidth="1"/>
    <col min="15889" max="15889" width="12.140625" customWidth="1"/>
    <col min="15890" max="15891" width="11.42578125" bestFit="1" customWidth="1"/>
    <col min="15892" max="15893" width="9.7109375" customWidth="1"/>
    <col min="15894" max="15894" width="15.85546875" customWidth="1"/>
    <col min="15895" max="15895" width="14.7109375" customWidth="1"/>
    <col min="15896" max="15896" width="14.85546875" customWidth="1"/>
    <col min="15897" max="15897" width="22.42578125" customWidth="1"/>
    <col min="15898" max="15898" width="2.85546875" customWidth="1"/>
    <col min="15899" max="15899" width="12.140625" bestFit="1" customWidth="1"/>
    <col min="15900" max="16111" width="9.140625" customWidth="1"/>
    <col min="16112" max="16112" width="4.42578125" customWidth="1"/>
    <col min="16113" max="16113" width="21.5703125" customWidth="1"/>
    <col min="16114" max="16114" width="17.28515625" customWidth="1"/>
    <col min="16115" max="16115" width="16.42578125" customWidth="1"/>
    <col min="16116" max="16116" width="9.85546875" customWidth="1"/>
    <col min="16117" max="16117" width="9.140625" customWidth="1"/>
    <col min="16118" max="16118" width="14.28515625" customWidth="1"/>
    <col min="16119" max="16119" width="8.42578125" customWidth="1"/>
    <col min="16120" max="16120" width="6.7109375" customWidth="1"/>
    <col min="16121" max="16121" width="7.42578125" customWidth="1"/>
    <col min="16129" max="16129" width="4.42578125" customWidth="1"/>
    <col min="16130" max="16130" width="7.42578125" customWidth="1"/>
    <col min="16131" max="16131" width="6.7109375" customWidth="1"/>
    <col min="16132" max="16132" width="26.42578125" customWidth="1"/>
    <col min="16133" max="16133" width="17.5703125" customWidth="1"/>
    <col min="16134" max="16134" width="13" bestFit="1" customWidth="1"/>
    <col min="16135" max="16135" width="11.28515625" customWidth="1"/>
    <col min="16136" max="16136" width="14.28515625" customWidth="1"/>
    <col min="16137" max="16137" width="12.7109375" customWidth="1"/>
    <col min="16138" max="16139" width="0" hidden="1" customWidth="1"/>
    <col min="16140" max="16140" width="8.5703125" customWidth="1"/>
    <col min="16141" max="16141" width="14.7109375" bestFit="1" customWidth="1"/>
    <col min="16142" max="16142" width="13.7109375" customWidth="1"/>
    <col min="16143" max="16143" width="16.28515625" bestFit="1" customWidth="1"/>
    <col min="16144" max="16144" width="14.85546875" customWidth="1"/>
    <col min="16145" max="16145" width="12.140625" customWidth="1"/>
    <col min="16146" max="16147" width="11.42578125" bestFit="1" customWidth="1"/>
    <col min="16148" max="16149" width="9.7109375" customWidth="1"/>
    <col min="16150" max="16150" width="15.85546875" customWidth="1"/>
    <col min="16151" max="16151" width="14.7109375" customWidth="1"/>
    <col min="16152" max="16152" width="14.85546875" customWidth="1"/>
    <col min="16153" max="16153" width="22.42578125" customWidth="1"/>
    <col min="16154" max="16154" width="2.85546875" customWidth="1"/>
    <col min="16155" max="16155" width="12.140625" bestFit="1" customWidth="1"/>
    <col min="16156" max="16367" width="9.140625" customWidth="1"/>
    <col min="16368" max="16368" width="4.42578125" customWidth="1"/>
    <col min="16369" max="16369" width="21.5703125" customWidth="1"/>
    <col min="16370" max="16370" width="17.28515625" customWidth="1"/>
    <col min="16371" max="16371" width="16.42578125" customWidth="1"/>
    <col min="16372" max="16372" width="9.85546875" customWidth="1"/>
    <col min="16373" max="16373" width="9.140625" customWidth="1"/>
    <col min="16374" max="16374" width="14.28515625" customWidth="1"/>
    <col min="16375" max="16375" width="8.42578125" customWidth="1"/>
    <col min="16376" max="16376" width="6.7109375" customWidth="1"/>
    <col min="16377" max="16377" width="7.42578125" customWidth="1"/>
  </cols>
  <sheetData>
    <row r="1" spans="1:27" x14ac:dyDescent="0.25">
      <c r="A1" s="24"/>
      <c r="B1" s="24"/>
      <c r="C1" s="25"/>
      <c r="D1" s="25"/>
      <c r="E1" s="24"/>
      <c r="F1" s="26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7" ht="20.25" x14ac:dyDescent="0.3">
      <c r="A2" s="27"/>
      <c r="B2" s="27"/>
      <c r="C2" s="28"/>
      <c r="D2" s="28"/>
      <c r="E2" s="149" t="s">
        <v>41</v>
      </c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27"/>
      <c r="S2" s="27"/>
      <c r="T2" s="27"/>
      <c r="U2" s="27"/>
      <c r="V2" s="27"/>
      <c r="W2" s="27"/>
      <c r="X2" s="27"/>
      <c r="Y2" s="27"/>
    </row>
    <row r="3" spans="1:27" ht="11.25" customHeight="1" x14ac:dyDescent="0.25">
      <c r="A3" s="24"/>
      <c r="B3" s="24"/>
      <c r="C3" s="25"/>
      <c r="D3" s="25"/>
      <c r="E3" s="24"/>
      <c r="F3" s="26"/>
      <c r="G3" s="24"/>
      <c r="H3" s="24"/>
      <c r="I3" s="29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 spans="1:27" x14ac:dyDescent="0.25">
      <c r="A4" s="24" t="s">
        <v>42</v>
      </c>
      <c r="B4" s="24"/>
      <c r="C4" s="25"/>
      <c r="D4" s="24" t="s">
        <v>92</v>
      </c>
      <c r="E4" s="24"/>
      <c r="F4" s="26"/>
      <c r="G4" s="24"/>
      <c r="H4" s="24"/>
      <c r="I4" s="29"/>
      <c r="J4" s="24"/>
      <c r="K4" s="24" t="s">
        <v>43</v>
      </c>
      <c r="L4" s="24"/>
      <c r="M4" s="24"/>
      <c r="N4" s="24" t="s">
        <v>93</v>
      </c>
      <c r="O4" s="24"/>
      <c r="P4" s="24"/>
      <c r="Q4" s="24"/>
      <c r="R4" s="24"/>
      <c r="S4" s="24"/>
      <c r="T4" s="24"/>
      <c r="V4" s="24" t="s">
        <v>44</v>
      </c>
      <c r="W4" s="24"/>
      <c r="X4" s="30">
        <v>46023</v>
      </c>
      <c r="Y4" s="24"/>
    </row>
    <row r="5" spans="1:27" x14ac:dyDescent="0.25">
      <c r="A5" s="24" t="s">
        <v>45</v>
      </c>
      <c r="B5" s="24"/>
      <c r="C5" s="25"/>
      <c r="D5" s="25"/>
      <c r="E5" s="24"/>
      <c r="F5" s="26"/>
      <c r="G5" s="24"/>
      <c r="H5" s="24"/>
      <c r="I5" s="29"/>
      <c r="J5" s="24"/>
      <c r="K5" s="24" t="s">
        <v>46</v>
      </c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 spans="1:27" x14ac:dyDescent="0.25">
      <c r="A6" s="24"/>
      <c r="B6" s="24"/>
      <c r="C6" s="25"/>
      <c r="D6" s="25"/>
      <c r="E6" s="24"/>
      <c r="F6" s="26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 spans="1:27" ht="12.75" customHeight="1" x14ac:dyDescent="0.25">
      <c r="A7" s="151" t="s">
        <v>47</v>
      </c>
      <c r="B7" s="154" t="s">
        <v>48</v>
      </c>
      <c r="C7" s="155"/>
      <c r="D7" s="155"/>
      <c r="E7" s="156"/>
      <c r="F7" s="98" t="s">
        <v>49</v>
      </c>
      <c r="G7" s="89"/>
      <c r="H7" s="89"/>
      <c r="I7" s="90"/>
      <c r="J7" s="88" t="s">
        <v>50</v>
      </c>
      <c r="K7" s="88" t="s">
        <v>51</v>
      </c>
      <c r="L7" s="31"/>
      <c r="M7" s="99" t="s">
        <v>52</v>
      </c>
      <c r="N7" s="99" t="s">
        <v>53</v>
      </c>
      <c r="O7" s="88" t="s">
        <v>54</v>
      </c>
      <c r="P7" s="100" t="s">
        <v>55</v>
      </c>
      <c r="Q7" s="89"/>
      <c r="R7" s="89"/>
      <c r="S7" s="89"/>
      <c r="T7" s="89"/>
      <c r="U7" s="90"/>
      <c r="V7" s="165" t="s">
        <v>56</v>
      </c>
      <c r="W7" s="169" t="s">
        <v>57</v>
      </c>
      <c r="X7" s="169" t="s">
        <v>58</v>
      </c>
      <c r="Y7" s="165" t="s">
        <v>59</v>
      </c>
    </row>
    <row r="8" spans="1:27" ht="12.75" customHeight="1" x14ac:dyDescent="0.25">
      <c r="A8" s="152"/>
      <c r="B8" s="157"/>
      <c r="C8" s="158"/>
      <c r="D8" s="158"/>
      <c r="E8" s="159"/>
      <c r="F8" s="91"/>
      <c r="G8" s="92"/>
      <c r="H8" s="92"/>
      <c r="I8" s="93"/>
      <c r="J8" s="32"/>
      <c r="K8" s="32"/>
      <c r="L8" s="32"/>
      <c r="M8" s="77"/>
      <c r="N8" s="77"/>
      <c r="O8" s="32"/>
      <c r="P8" s="91"/>
      <c r="Q8" s="92"/>
      <c r="R8" s="92"/>
      <c r="S8" s="92"/>
      <c r="T8" s="92"/>
      <c r="U8" s="93"/>
      <c r="V8" s="152"/>
      <c r="W8" s="152"/>
      <c r="X8" s="152"/>
      <c r="Y8" s="152"/>
    </row>
    <row r="9" spans="1:27" ht="21" customHeight="1" x14ac:dyDescent="0.25">
      <c r="A9" s="152"/>
      <c r="B9" s="151" t="s">
        <v>60</v>
      </c>
      <c r="C9" s="170" t="s">
        <v>61</v>
      </c>
      <c r="D9" s="33"/>
      <c r="E9" s="170" t="s">
        <v>116</v>
      </c>
      <c r="F9" s="171" t="s">
        <v>111</v>
      </c>
      <c r="G9" s="171" t="s">
        <v>112</v>
      </c>
      <c r="H9" s="171" t="s">
        <v>113</v>
      </c>
      <c r="I9" s="171" t="s">
        <v>117</v>
      </c>
      <c r="J9" s="171" t="s">
        <v>118</v>
      </c>
      <c r="K9" s="171" t="s">
        <v>119</v>
      </c>
      <c r="L9" s="171" t="s">
        <v>118</v>
      </c>
      <c r="M9" s="171" t="s">
        <v>39</v>
      </c>
      <c r="N9" s="171" t="s">
        <v>120</v>
      </c>
      <c r="O9" s="32"/>
      <c r="P9" s="101" t="s">
        <v>68</v>
      </c>
      <c r="Q9" s="101" t="s">
        <v>69</v>
      </c>
      <c r="R9" s="101" t="s">
        <v>70</v>
      </c>
      <c r="S9" s="101" t="s">
        <v>71</v>
      </c>
      <c r="T9" s="101" t="s">
        <v>72</v>
      </c>
      <c r="U9" s="102" t="s">
        <v>73</v>
      </c>
      <c r="V9" s="152"/>
      <c r="W9" s="152"/>
      <c r="X9" s="152"/>
      <c r="Y9" s="152"/>
    </row>
    <row r="10" spans="1:27" ht="21" customHeight="1" x14ac:dyDescent="0.25">
      <c r="A10" s="152"/>
      <c r="B10" s="152"/>
      <c r="C10" s="152"/>
      <c r="D10" s="32"/>
      <c r="E10" s="152"/>
      <c r="F10" s="183"/>
      <c r="G10" s="183"/>
      <c r="H10" s="183"/>
      <c r="I10" s="183"/>
      <c r="J10" s="183"/>
      <c r="K10" s="183"/>
      <c r="L10" s="183"/>
      <c r="M10" s="183"/>
      <c r="N10" s="183"/>
      <c r="O10" s="32"/>
      <c r="P10" s="32"/>
      <c r="Q10" s="32"/>
      <c r="R10" s="32"/>
      <c r="S10" s="32"/>
      <c r="T10" s="32"/>
      <c r="U10" s="103"/>
      <c r="V10" s="152"/>
      <c r="W10" s="152"/>
      <c r="X10" s="152"/>
      <c r="Y10" s="152"/>
    </row>
    <row r="11" spans="1:27" ht="21" customHeight="1" x14ac:dyDescent="0.25">
      <c r="A11" s="153"/>
      <c r="B11" s="153"/>
      <c r="C11" s="153"/>
      <c r="D11" s="34" t="s">
        <v>74</v>
      </c>
      <c r="E11" s="153"/>
      <c r="F11" s="184"/>
      <c r="G11" s="184"/>
      <c r="H11" s="184"/>
      <c r="I11" s="184"/>
      <c r="J11" s="184"/>
      <c r="K11" s="184"/>
      <c r="L11" s="184"/>
      <c r="M11" s="184"/>
      <c r="N11" s="184"/>
      <c r="O11" s="34"/>
      <c r="P11" s="34"/>
      <c r="Q11" s="34"/>
      <c r="R11" s="34"/>
      <c r="S11" s="34"/>
      <c r="T11" s="34"/>
      <c r="U11" s="104"/>
      <c r="V11" s="153"/>
      <c r="W11" s="153"/>
      <c r="X11" s="153"/>
      <c r="Y11" s="153"/>
    </row>
    <row r="12" spans="1:27" s="44" customFormat="1" ht="39.950000000000003" customHeight="1" x14ac:dyDescent="0.25">
      <c r="A12" s="35">
        <v>1</v>
      </c>
      <c r="B12" s="35"/>
      <c r="C12" s="36"/>
      <c r="D12" s="37" t="s">
        <v>85</v>
      </c>
      <c r="E12" s="48"/>
      <c r="F12" s="94"/>
      <c r="G12" s="95"/>
      <c r="H12" s="94"/>
      <c r="I12" s="96"/>
      <c r="J12" s="96"/>
      <c r="K12" s="96"/>
      <c r="L12" s="64"/>
      <c r="M12" s="96"/>
      <c r="N12" s="96"/>
      <c r="O12" s="97"/>
      <c r="P12" s="96"/>
      <c r="Q12" s="96"/>
      <c r="R12" s="50"/>
      <c r="S12" s="39"/>
      <c r="T12" s="39"/>
      <c r="U12" s="39"/>
      <c r="V12" s="39"/>
      <c r="W12" s="39"/>
      <c r="X12" s="43"/>
      <c r="Y12" s="39"/>
    </row>
    <row r="13" spans="1:27" s="44" customFormat="1" ht="39.950000000000003" customHeight="1" x14ac:dyDescent="0.25">
      <c r="A13" s="35">
        <v>2</v>
      </c>
      <c r="B13" s="45"/>
      <c r="C13" s="46"/>
      <c r="D13" s="47" t="s">
        <v>86</v>
      </c>
      <c r="E13" s="48"/>
      <c r="F13" s="96"/>
      <c r="G13" s="49"/>
      <c r="H13" s="96"/>
      <c r="I13" s="96"/>
      <c r="J13" s="96"/>
      <c r="K13" s="96"/>
      <c r="L13" s="64"/>
      <c r="M13" s="96"/>
      <c r="N13" s="96"/>
      <c r="O13" s="97"/>
      <c r="P13" s="96"/>
      <c r="Q13" s="96"/>
      <c r="R13" s="50"/>
      <c r="S13" s="39"/>
      <c r="T13" s="39"/>
      <c r="U13" s="39"/>
      <c r="V13" s="39"/>
      <c r="W13" s="39"/>
      <c r="X13" s="43"/>
      <c r="Y13" s="39"/>
    </row>
    <row r="14" spans="1:27" s="44" customFormat="1" ht="39.950000000000003" customHeight="1" x14ac:dyDescent="0.25">
      <c r="A14" s="35">
        <v>4</v>
      </c>
      <c r="B14" s="45" t="s">
        <v>78</v>
      </c>
      <c r="C14" s="46"/>
      <c r="D14" s="51" t="s">
        <v>101</v>
      </c>
      <c r="E14" s="56"/>
      <c r="F14" s="96"/>
      <c r="G14" s="49"/>
      <c r="H14" s="96"/>
      <c r="I14" s="96"/>
      <c r="J14" s="96"/>
      <c r="K14" s="96"/>
      <c r="L14" s="64"/>
      <c r="M14" s="96"/>
      <c r="N14" s="96"/>
      <c r="O14" s="97"/>
      <c r="P14" s="96"/>
      <c r="Q14" s="96"/>
      <c r="R14" s="53"/>
      <c r="S14" s="39"/>
      <c r="T14" s="39"/>
      <c r="U14" s="39"/>
      <c r="V14" s="39"/>
      <c r="W14" s="39"/>
      <c r="X14" s="43"/>
      <c r="Y14" s="40"/>
      <c r="AA14" s="52"/>
    </row>
    <row r="15" spans="1:27" s="44" customFormat="1" ht="39.950000000000003" customHeight="1" x14ac:dyDescent="0.25">
      <c r="A15" s="35">
        <v>5</v>
      </c>
      <c r="B15" s="45" t="s">
        <v>94</v>
      </c>
      <c r="C15" s="54"/>
      <c r="D15" s="55" t="s">
        <v>102</v>
      </c>
      <c r="E15" s="56" t="s">
        <v>121</v>
      </c>
      <c r="F15" s="96">
        <v>1365.24</v>
      </c>
      <c r="G15" s="49">
        <v>14335.02</v>
      </c>
      <c r="H15" s="96">
        <v>10239.299999999999</v>
      </c>
      <c r="I15" s="96">
        <v>15700.26</v>
      </c>
      <c r="J15" s="96"/>
      <c r="K15" s="96"/>
      <c r="L15" s="64"/>
      <c r="M15" s="96">
        <f>SUM(F15:L15)</f>
        <v>41639.82</v>
      </c>
      <c r="N15" s="96"/>
      <c r="O15" s="97"/>
      <c r="P15" s="64">
        <v>4830.38</v>
      </c>
      <c r="Q15" s="96"/>
      <c r="R15" s="53"/>
      <c r="S15" s="39"/>
      <c r="T15" s="39"/>
      <c r="U15" s="39"/>
      <c r="V15" s="39"/>
      <c r="W15" s="39"/>
      <c r="X15" s="43"/>
      <c r="Y15" s="40"/>
      <c r="AA15" s="52"/>
    </row>
    <row r="16" spans="1:27" s="44" customFormat="1" ht="39.950000000000003" customHeight="1" x14ac:dyDescent="0.25">
      <c r="A16" s="35">
        <v>6</v>
      </c>
      <c r="B16" s="45" t="s">
        <v>95</v>
      </c>
      <c r="C16" s="54"/>
      <c r="D16" s="55" t="s">
        <v>103</v>
      </c>
      <c r="E16" s="56" t="s">
        <v>122</v>
      </c>
      <c r="F16" s="96">
        <v>1365.24</v>
      </c>
      <c r="G16" s="49">
        <v>14335.02</v>
      </c>
      <c r="H16" s="96">
        <v>10239.299999999999</v>
      </c>
      <c r="I16" s="96">
        <v>15700.26</v>
      </c>
      <c r="J16" s="96"/>
      <c r="K16" s="96"/>
      <c r="L16" s="64"/>
      <c r="M16" s="96">
        <f t="shared" ref="M16:M23" si="0">SUM(F16:L16)</f>
        <v>41639.82</v>
      </c>
      <c r="N16" s="96"/>
      <c r="O16" s="97"/>
      <c r="P16" s="64">
        <v>4830.38</v>
      </c>
      <c r="Q16" s="96"/>
      <c r="R16" s="53"/>
      <c r="S16" s="39"/>
      <c r="T16" s="39"/>
      <c r="U16" s="39"/>
      <c r="V16" s="39"/>
      <c r="W16" s="39"/>
      <c r="X16" s="43"/>
      <c r="Y16" s="40"/>
    </row>
    <row r="17" spans="1:27" s="44" customFormat="1" ht="39.950000000000003" customHeight="1" x14ac:dyDescent="0.25">
      <c r="A17" s="35">
        <v>7</v>
      </c>
      <c r="B17" s="45" t="s">
        <v>96</v>
      </c>
      <c r="C17" s="54"/>
      <c r="D17" s="55" t="s">
        <v>87</v>
      </c>
      <c r="E17" s="56" t="s">
        <v>123</v>
      </c>
      <c r="F17" s="96">
        <v>1365.24</v>
      </c>
      <c r="G17" s="49">
        <v>14335.02</v>
      </c>
      <c r="H17" s="96">
        <v>10239.299999999999</v>
      </c>
      <c r="I17" s="96">
        <v>15700.26</v>
      </c>
      <c r="J17" s="96"/>
      <c r="K17" s="96"/>
      <c r="L17" s="64"/>
      <c r="M17" s="96">
        <f t="shared" si="0"/>
        <v>41639.82</v>
      </c>
      <c r="N17" s="96"/>
      <c r="O17" s="97"/>
      <c r="P17" s="64">
        <v>4830.38</v>
      </c>
      <c r="Q17" s="96"/>
      <c r="R17" s="53"/>
      <c r="S17" s="39"/>
      <c r="T17" s="39"/>
      <c r="U17" s="39"/>
      <c r="V17" s="39"/>
      <c r="W17" s="39"/>
      <c r="X17" s="43"/>
      <c r="Y17" s="40"/>
    </row>
    <row r="18" spans="1:27" s="44" customFormat="1" ht="39.950000000000003" customHeight="1" x14ac:dyDescent="0.25">
      <c r="A18" s="35">
        <v>8</v>
      </c>
      <c r="B18" s="45" t="s">
        <v>97</v>
      </c>
      <c r="C18" s="54"/>
      <c r="D18" s="55" t="s">
        <v>104</v>
      </c>
      <c r="E18" s="56" t="s">
        <v>121</v>
      </c>
      <c r="F18" s="96">
        <v>1365.24</v>
      </c>
      <c r="G18" s="49">
        <v>14335.02</v>
      </c>
      <c r="H18" s="96">
        <v>10239.299999999999</v>
      </c>
      <c r="I18" s="96">
        <v>15700.26</v>
      </c>
      <c r="J18" s="39"/>
      <c r="K18" s="39"/>
      <c r="L18" s="64"/>
      <c r="M18" s="96">
        <f t="shared" si="0"/>
        <v>41639.82</v>
      </c>
      <c r="N18" s="39"/>
      <c r="O18" s="41"/>
      <c r="P18" s="64">
        <v>4830.38</v>
      </c>
      <c r="Q18" s="39"/>
      <c r="R18" s="53"/>
      <c r="S18" s="39"/>
      <c r="T18" s="39"/>
      <c r="U18" s="39"/>
      <c r="V18" s="39"/>
      <c r="W18" s="39"/>
      <c r="X18" s="43"/>
      <c r="Y18" s="40"/>
    </row>
    <row r="19" spans="1:27" s="44" customFormat="1" ht="39.950000000000003" customHeight="1" x14ac:dyDescent="0.25">
      <c r="A19" s="35">
        <v>9</v>
      </c>
      <c r="B19" s="45" t="s">
        <v>98</v>
      </c>
      <c r="C19" s="54"/>
      <c r="D19" s="55" t="s">
        <v>105</v>
      </c>
      <c r="E19" s="56" t="s">
        <v>122</v>
      </c>
      <c r="F19" s="96">
        <v>1365.24</v>
      </c>
      <c r="G19" s="49">
        <v>14335.02</v>
      </c>
      <c r="H19" s="96">
        <v>10239.299999999999</v>
      </c>
      <c r="I19" s="96">
        <v>15700.26</v>
      </c>
      <c r="J19" s="39"/>
      <c r="K19" s="39"/>
      <c r="L19" s="40"/>
      <c r="M19" s="96">
        <f t="shared" si="0"/>
        <v>41639.82</v>
      </c>
      <c r="N19" s="39"/>
      <c r="O19" s="41"/>
      <c r="P19" s="40">
        <v>5734</v>
      </c>
      <c r="Q19" s="39"/>
      <c r="R19" s="39"/>
      <c r="S19" s="39"/>
      <c r="T19" s="39"/>
      <c r="U19" s="39"/>
      <c r="V19" s="39"/>
      <c r="W19" s="39"/>
      <c r="X19" s="43"/>
      <c r="Y19" s="40"/>
    </row>
    <row r="20" spans="1:27" s="44" customFormat="1" ht="39.950000000000003" customHeight="1" x14ac:dyDescent="0.25">
      <c r="A20" s="35">
        <v>10</v>
      </c>
      <c r="B20" s="45" t="s">
        <v>99</v>
      </c>
      <c r="C20" s="54"/>
      <c r="D20" s="55" t="s">
        <v>106</v>
      </c>
      <c r="E20" s="56" t="s">
        <v>124</v>
      </c>
      <c r="F20" s="96">
        <v>1365.24</v>
      </c>
      <c r="G20" s="49">
        <v>14335.02</v>
      </c>
      <c r="H20" s="96">
        <v>10239.299999999999</v>
      </c>
      <c r="I20" s="96">
        <v>15700.26</v>
      </c>
      <c r="J20" s="39"/>
      <c r="K20" s="39"/>
      <c r="L20" s="40"/>
      <c r="M20" s="96">
        <f t="shared" si="0"/>
        <v>41639.82</v>
      </c>
      <c r="N20" s="39"/>
      <c r="O20" s="41"/>
      <c r="P20" s="40">
        <v>5734</v>
      </c>
      <c r="Q20" s="39"/>
      <c r="R20" s="39"/>
      <c r="S20" s="39"/>
      <c r="T20" s="39"/>
      <c r="U20" s="39"/>
      <c r="V20" s="39"/>
      <c r="W20" s="39"/>
      <c r="X20" s="43"/>
      <c r="Y20" s="40"/>
    </row>
    <row r="21" spans="1:27" s="44" customFormat="1" ht="39.950000000000003" customHeight="1" x14ac:dyDescent="0.25">
      <c r="A21" s="35">
        <v>11</v>
      </c>
      <c r="B21" s="45" t="s">
        <v>100</v>
      </c>
      <c r="C21" s="54"/>
      <c r="D21" s="55" t="s">
        <v>107</v>
      </c>
      <c r="E21" s="56" t="s">
        <v>125</v>
      </c>
      <c r="F21" s="96"/>
      <c r="G21" s="49">
        <v>9556.68</v>
      </c>
      <c r="H21" s="61">
        <v>8191.44</v>
      </c>
      <c r="I21" s="96">
        <v>8874.06</v>
      </c>
      <c r="J21" s="39"/>
      <c r="K21" s="39"/>
      <c r="L21" s="40"/>
      <c r="M21" s="96">
        <f t="shared" si="0"/>
        <v>26622.18</v>
      </c>
      <c r="N21" s="39"/>
      <c r="O21" s="41"/>
      <c r="P21" s="40">
        <v>3440.4</v>
      </c>
      <c r="Q21" s="39"/>
      <c r="R21" s="39"/>
      <c r="S21" s="39"/>
      <c r="T21" s="39"/>
      <c r="U21" s="39"/>
      <c r="V21" s="39"/>
      <c r="W21" s="39"/>
      <c r="X21" s="43"/>
      <c r="Y21" s="40"/>
    </row>
    <row r="22" spans="1:27" s="44" customFormat="1" ht="39.950000000000003" customHeight="1" x14ac:dyDescent="0.25">
      <c r="A22" s="35">
        <v>12</v>
      </c>
      <c r="B22" s="45"/>
      <c r="C22" s="54"/>
      <c r="D22" s="55" t="s">
        <v>108</v>
      </c>
      <c r="E22" s="56" t="s">
        <v>125</v>
      </c>
      <c r="F22" s="96">
        <v>1365.24</v>
      </c>
      <c r="G22" s="49">
        <v>4778.34</v>
      </c>
      <c r="H22" s="61">
        <v>5460.96</v>
      </c>
      <c r="I22" s="96">
        <v>6826.2</v>
      </c>
      <c r="J22" s="39"/>
      <c r="K22" s="39"/>
      <c r="L22" s="40"/>
      <c r="M22" s="96">
        <f t="shared" si="0"/>
        <v>18430.740000000002</v>
      </c>
      <c r="N22" s="39"/>
      <c r="O22" s="41"/>
      <c r="P22" s="40">
        <v>2293.6</v>
      </c>
      <c r="Q22" s="39"/>
      <c r="R22" s="39"/>
      <c r="S22" s="39"/>
      <c r="T22" s="39"/>
      <c r="U22" s="39"/>
      <c r="V22" s="39"/>
      <c r="W22" s="39"/>
      <c r="X22" s="43"/>
      <c r="Y22" s="40"/>
    </row>
    <row r="23" spans="1:27" s="44" customFormat="1" ht="39.950000000000003" customHeight="1" x14ac:dyDescent="0.25">
      <c r="A23" s="35">
        <v>13</v>
      </c>
      <c r="B23" s="45"/>
      <c r="C23" s="54"/>
      <c r="D23" s="55" t="s">
        <v>109</v>
      </c>
      <c r="E23" s="56" t="s">
        <v>121</v>
      </c>
      <c r="F23" s="96">
        <v>1365.24</v>
      </c>
      <c r="G23" s="49">
        <v>13652.4</v>
      </c>
      <c r="H23" s="61">
        <v>6826.2</v>
      </c>
      <c r="I23" s="96">
        <v>15700.26</v>
      </c>
      <c r="J23" s="39"/>
      <c r="K23" s="39"/>
      <c r="L23" s="40"/>
      <c r="M23" s="96">
        <f t="shared" si="0"/>
        <v>37544.1</v>
      </c>
      <c r="N23" s="39"/>
      <c r="O23" s="41"/>
      <c r="P23" s="40">
        <v>5734</v>
      </c>
      <c r="Q23" s="39"/>
      <c r="R23" s="39"/>
      <c r="S23" s="39"/>
      <c r="T23" s="39"/>
      <c r="U23" s="39"/>
      <c r="V23" s="39"/>
      <c r="W23" s="39"/>
      <c r="X23" s="43"/>
      <c r="Y23" s="40"/>
    </row>
    <row r="24" spans="1:27" s="44" customFormat="1" ht="39.950000000000003" customHeight="1" x14ac:dyDescent="0.25">
      <c r="A24" s="35">
        <v>14</v>
      </c>
      <c r="B24" s="45"/>
      <c r="C24" s="57"/>
      <c r="D24" s="60" t="s">
        <v>88</v>
      </c>
      <c r="E24" s="56"/>
      <c r="F24" s="61"/>
      <c r="G24" s="49"/>
      <c r="H24" s="61"/>
      <c r="I24" s="39"/>
      <c r="J24" s="39"/>
      <c r="K24" s="39"/>
      <c r="L24" s="40"/>
      <c r="M24" s="39"/>
      <c r="N24" s="39"/>
      <c r="O24" s="41"/>
      <c r="P24" s="39"/>
      <c r="Q24" s="39"/>
      <c r="R24" s="39"/>
      <c r="S24" s="39"/>
      <c r="T24" s="39"/>
      <c r="U24" s="39"/>
      <c r="V24" s="39"/>
      <c r="W24" s="39"/>
      <c r="X24" s="43"/>
      <c r="Y24" s="45"/>
      <c r="Z24" s="59"/>
      <c r="AA24" s="52"/>
    </row>
    <row r="25" spans="1:27" s="44" customFormat="1" ht="39.950000000000003" customHeight="1" x14ac:dyDescent="0.25">
      <c r="A25" s="35">
        <v>15</v>
      </c>
      <c r="B25" s="45"/>
      <c r="C25" s="62"/>
      <c r="D25" s="58" t="s">
        <v>89</v>
      </c>
      <c r="E25" s="56"/>
      <c r="F25" s="61"/>
      <c r="G25" s="49"/>
      <c r="H25" s="61"/>
      <c r="I25" s="39"/>
      <c r="J25" s="39"/>
      <c r="K25" s="39"/>
      <c r="L25" s="40"/>
      <c r="M25" s="39"/>
      <c r="N25" s="39"/>
      <c r="O25" s="41"/>
      <c r="P25" s="39"/>
      <c r="Q25" s="39"/>
      <c r="R25" s="39"/>
      <c r="S25" s="39"/>
      <c r="T25" s="39"/>
      <c r="U25" s="39"/>
      <c r="V25" s="39"/>
      <c r="W25" s="39"/>
      <c r="X25" s="43"/>
      <c r="Y25" s="45"/>
      <c r="Z25" s="59"/>
    </row>
    <row r="26" spans="1:27" s="44" customFormat="1" ht="39.950000000000003" customHeight="1" x14ac:dyDescent="0.25">
      <c r="A26" s="35">
        <v>50</v>
      </c>
      <c r="B26" s="45"/>
      <c r="C26" s="62"/>
      <c r="D26" s="60"/>
      <c r="E26" s="56"/>
      <c r="F26" s="61"/>
      <c r="G26" s="49">
        <v>0</v>
      </c>
      <c r="H26" s="61"/>
      <c r="I26" s="39">
        <f t="shared" ref="I26:I27" si="1">H26</f>
        <v>0</v>
      </c>
      <c r="J26" s="39"/>
      <c r="K26" s="39"/>
      <c r="L26" s="40"/>
      <c r="M26" s="39">
        <f t="shared" ref="M26:M27" si="2">H26+J26+K26+L26</f>
        <v>0</v>
      </c>
      <c r="N26" s="39">
        <f t="shared" ref="N26:O27" si="3">M26</f>
        <v>0</v>
      </c>
      <c r="O26" s="41">
        <f t="shared" si="3"/>
        <v>0</v>
      </c>
      <c r="P26" s="39">
        <f t="shared" ref="P26:P27" si="4">(N26*15/100)</f>
        <v>0</v>
      </c>
      <c r="Q26" s="39">
        <f t="shared" ref="Q26:Q27" si="5">((M26)*7.59/1000)</f>
        <v>0</v>
      </c>
      <c r="R26" s="39"/>
      <c r="S26" s="39"/>
      <c r="T26" s="39"/>
      <c r="U26" s="39"/>
      <c r="V26" s="39">
        <f t="shared" ref="V26:V27" si="6">P26+Q26+S26+U26</f>
        <v>0</v>
      </c>
      <c r="W26" s="39">
        <f t="shared" ref="W26:W27" si="7">V26</f>
        <v>0</v>
      </c>
      <c r="X26" s="43">
        <f t="shared" ref="X26:X27" si="8">M26-V26+W26</f>
        <v>0</v>
      </c>
      <c r="Y26" s="45"/>
      <c r="Z26" s="59"/>
    </row>
    <row r="27" spans="1:27" s="44" customFormat="1" ht="39.950000000000003" customHeight="1" x14ac:dyDescent="0.25">
      <c r="A27" s="35">
        <v>51</v>
      </c>
      <c r="B27" s="45"/>
      <c r="C27" s="62"/>
      <c r="D27" s="60"/>
      <c r="E27" s="56"/>
      <c r="F27" s="61"/>
      <c r="G27" s="49">
        <v>0</v>
      </c>
      <c r="H27" s="61"/>
      <c r="I27" s="39">
        <f t="shared" si="1"/>
        <v>0</v>
      </c>
      <c r="J27" s="39"/>
      <c r="K27" s="39"/>
      <c r="L27" s="40"/>
      <c r="M27" s="39">
        <f t="shared" si="2"/>
        <v>0</v>
      </c>
      <c r="N27" s="39">
        <f t="shared" si="3"/>
        <v>0</v>
      </c>
      <c r="O27" s="41">
        <f t="shared" si="3"/>
        <v>0</v>
      </c>
      <c r="P27" s="39">
        <f t="shared" si="4"/>
        <v>0</v>
      </c>
      <c r="Q27" s="39">
        <f t="shared" si="5"/>
        <v>0</v>
      </c>
      <c r="R27" s="39"/>
      <c r="S27" s="39"/>
      <c r="T27" s="39"/>
      <c r="U27" s="39"/>
      <c r="V27" s="39">
        <f t="shared" si="6"/>
        <v>0</v>
      </c>
      <c r="W27" s="39">
        <f t="shared" si="7"/>
        <v>0</v>
      </c>
      <c r="X27" s="43">
        <f t="shared" si="8"/>
        <v>0</v>
      </c>
      <c r="Y27" s="45"/>
      <c r="Z27" s="59"/>
    </row>
    <row r="28" spans="1:27" s="44" customFormat="1" ht="39.950000000000003" customHeight="1" x14ac:dyDescent="0.25">
      <c r="A28" s="45"/>
      <c r="B28" s="45"/>
      <c r="C28" s="49" t="s">
        <v>39</v>
      </c>
      <c r="D28" s="49"/>
      <c r="E28" s="49"/>
      <c r="F28" s="63"/>
      <c r="G28" s="63">
        <f t="shared" ref="G28:M28" si="9">SUM(G12:G27)</f>
        <v>113997.54000000001</v>
      </c>
      <c r="H28" s="63">
        <f t="shared" si="9"/>
        <v>81914.400000000009</v>
      </c>
      <c r="I28" s="63">
        <f t="shared" si="9"/>
        <v>125602.07999999999</v>
      </c>
      <c r="J28" s="63">
        <f t="shared" si="9"/>
        <v>0</v>
      </c>
      <c r="K28" s="63">
        <f t="shared" si="9"/>
        <v>0</v>
      </c>
      <c r="L28" s="63">
        <f t="shared" si="9"/>
        <v>0</v>
      </c>
      <c r="M28" s="63">
        <f t="shared" si="9"/>
        <v>332435.94</v>
      </c>
      <c r="N28" s="63"/>
      <c r="O28" s="63"/>
      <c r="P28" s="63">
        <f t="shared" ref="P28:W28" si="10">SUM(P12:P27)</f>
        <v>42257.52</v>
      </c>
      <c r="Q28" s="63">
        <f t="shared" si="10"/>
        <v>0</v>
      </c>
      <c r="R28" s="63">
        <f t="shared" si="10"/>
        <v>0</v>
      </c>
      <c r="S28" s="63">
        <f t="shared" si="10"/>
        <v>0</v>
      </c>
      <c r="T28" s="63">
        <f t="shared" si="10"/>
        <v>0</v>
      </c>
      <c r="U28" s="63">
        <f t="shared" si="10"/>
        <v>0</v>
      </c>
      <c r="V28" s="63">
        <f t="shared" si="10"/>
        <v>0</v>
      </c>
      <c r="W28" s="63">
        <f t="shared" si="10"/>
        <v>0</v>
      </c>
      <c r="X28" s="63">
        <f>SUM(X12:X27)</f>
        <v>0</v>
      </c>
      <c r="Y28" s="64"/>
    </row>
    <row r="29" spans="1:27" s="44" customFormat="1" ht="24.95" customHeight="1" x14ac:dyDescent="0.2">
      <c r="A29" s="59"/>
      <c r="B29" s="59"/>
      <c r="C29" s="65"/>
      <c r="D29" s="66"/>
      <c r="E29" s="67"/>
      <c r="F29" s="52"/>
      <c r="G29" s="68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8"/>
      <c r="Y29" s="66"/>
    </row>
    <row r="30" spans="1:27" s="66" customFormat="1" ht="24.95" customHeight="1" x14ac:dyDescent="0.25">
      <c r="C30" s="59"/>
      <c r="D30" s="59"/>
      <c r="E30" s="59" t="s">
        <v>114</v>
      </c>
      <c r="F30" s="68"/>
      <c r="G30" s="59"/>
      <c r="H30" s="59"/>
      <c r="I30" s="59"/>
      <c r="J30" s="59"/>
      <c r="K30" s="59"/>
      <c r="L30" s="59"/>
      <c r="M30" s="181"/>
      <c r="N30" s="150"/>
      <c r="O30" s="52">
        <f>X28</f>
        <v>0</v>
      </c>
      <c r="P30" s="59" t="s">
        <v>81</v>
      </c>
      <c r="Q30" s="59"/>
      <c r="R30" s="59"/>
      <c r="S30" s="59"/>
      <c r="T30" s="59"/>
      <c r="U30" s="59"/>
      <c r="V30" s="59"/>
      <c r="W30" s="59"/>
      <c r="X30" s="52"/>
      <c r="Y30" s="59"/>
    </row>
    <row r="31" spans="1:27" s="44" customFormat="1" ht="24.95" customHeight="1" x14ac:dyDescent="0.2">
      <c r="A31" s="59"/>
      <c r="B31" s="59"/>
      <c r="C31" s="59"/>
      <c r="D31" s="59"/>
      <c r="E31" s="59" t="s">
        <v>82</v>
      </c>
      <c r="F31" s="52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</row>
    <row r="32" spans="1:27" s="44" customFormat="1" ht="24.95" customHeight="1" x14ac:dyDescent="0.2">
      <c r="A32" s="59"/>
      <c r="B32" s="59"/>
      <c r="C32" s="59"/>
      <c r="D32" s="59"/>
      <c r="E32" s="59" t="s">
        <v>83</v>
      </c>
      <c r="F32" s="52" t="s">
        <v>90</v>
      </c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</row>
    <row r="33" spans="1:25" s="44" customFormat="1" ht="24.95" customHeight="1" x14ac:dyDescent="0.2">
      <c r="A33" s="59"/>
      <c r="B33" s="59"/>
      <c r="C33" s="59"/>
      <c r="D33" s="59"/>
      <c r="E33" s="59" t="s">
        <v>84</v>
      </c>
      <c r="F33" s="52"/>
      <c r="G33" s="59"/>
      <c r="H33" s="59"/>
      <c r="I33" s="59"/>
      <c r="J33" s="174"/>
      <c r="K33" s="182"/>
      <c r="L33" s="182"/>
      <c r="M33" s="182"/>
      <c r="N33" s="59"/>
      <c r="O33" s="59"/>
      <c r="P33" s="59"/>
      <c r="Q33" s="59"/>
      <c r="R33" s="59"/>
      <c r="S33" s="174" t="s">
        <v>91</v>
      </c>
      <c r="T33" s="174"/>
      <c r="U33" s="174"/>
      <c r="V33" s="174"/>
      <c r="W33" s="69"/>
      <c r="X33" s="59"/>
      <c r="Y33" s="59"/>
    </row>
    <row r="34" spans="1:25" s="44" customFormat="1" ht="24.95" customHeight="1" x14ac:dyDescent="0.2">
      <c r="A34" s="59"/>
      <c r="B34" s="59"/>
      <c r="C34" s="65"/>
      <c r="D34" s="65"/>
      <c r="E34" s="59"/>
      <c r="F34" s="52"/>
      <c r="G34" s="59"/>
      <c r="H34" s="59"/>
      <c r="I34" s="59"/>
      <c r="J34" s="174" t="s">
        <v>33</v>
      </c>
      <c r="K34" s="175"/>
      <c r="L34" s="174"/>
      <c r="M34" s="174"/>
      <c r="N34" s="59"/>
      <c r="O34" s="59"/>
      <c r="P34" s="59"/>
      <c r="Q34" s="59"/>
      <c r="R34" s="59"/>
      <c r="S34" s="174" t="s">
        <v>75</v>
      </c>
      <c r="T34" s="174"/>
      <c r="U34" s="174"/>
      <c r="V34" s="174"/>
      <c r="W34" s="69"/>
      <c r="X34" s="59"/>
      <c r="Y34" s="59"/>
    </row>
  </sheetData>
  <mergeCells count="24">
    <mergeCell ref="J34:M34"/>
    <mergeCell ref="S34:V34"/>
    <mergeCell ref="I9:I11"/>
    <mergeCell ref="L9:L11"/>
    <mergeCell ref="V7:V11"/>
    <mergeCell ref="M30:N30"/>
    <mergeCell ref="J33:M33"/>
    <mergeCell ref="S33:V33"/>
    <mergeCell ref="W7:W11"/>
    <mergeCell ref="X7:X11"/>
    <mergeCell ref="Y7:Y11"/>
    <mergeCell ref="B9:B11"/>
    <mergeCell ref="C9:C11"/>
    <mergeCell ref="E9:E11"/>
    <mergeCell ref="F9:F11"/>
    <mergeCell ref="G9:G11"/>
    <mergeCell ref="H9:H11"/>
    <mergeCell ref="E2:Q2"/>
    <mergeCell ref="A7:A11"/>
    <mergeCell ref="B7:E8"/>
    <mergeCell ref="J9:J11"/>
    <mergeCell ref="K9:K11"/>
    <mergeCell ref="M9:M11"/>
    <mergeCell ref="N9:N11"/>
  </mergeCells>
  <phoneticPr fontId="17" type="noConversion"/>
  <pageMargins left="0.7" right="0.7" top="0.75" bottom="0.75" header="0.3" footer="0.3"/>
  <pageSetup paperSize="9" scale="41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AB250-939F-45AE-A9A2-ED5AE9B11031}">
  <sheetPr>
    <pageSetUpPr fitToPage="1"/>
  </sheetPr>
  <dimension ref="A1:AA32"/>
  <sheetViews>
    <sheetView view="pageBreakPreview" topLeftCell="A7" zoomScale="60" zoomScaleNormal="69" workbookViewId="0">
      <selection activeCell="N24" sqref="N24"/>
    </sheetView>
  </sheetViews>
  <sheetFormatPr defaultColWidth="3.140625" defaultRowHeight="15" x14ac:dyDescent="0.25"/>
  <cols>
    <col min="1" max="1" width="4.42578125" customWidth="1"/>
    <col min="2" max="2" width="7.42578125" customWidth="1"/>
    <col min="3" max="3" width="6.7109375" customWidth="1"/>
    <col min="4" max="4" width="26.42578125" customWidth="1"/>
    <col min="5" max="5" width="17.5703125" customWidth="1"/>
    <col min="6" max="6" width="13" style="70" bestFit="1" customWidth="1"/>
    <col min="7" max="7" width="16" customWidth="1"/>
    <col min="8" max="8" width="14.28515625" customWidth="1"/>
    <col min="9" max="9" width="14.85546875" customWidth="1"/>
    <col min="10" max="10" width="8.5703125" hidden="1" customWidth="1"/>
    <col min="11" max="11" width="11" hidden="1" customWidth="1"/>
    <col min="12" max="12" width="13.140625" customWidth="1"/>
    <col min="13" max="13" width="14.7109375" bestFit="1" customWidth="1"/>
    <col min="14" max="14" width="13.7109375" customWidth="1"/>
    <col min="15" max="15" width="16.28515625" bestFit="1" customWidth="1"/>
    <col min="16" max="16" width="14.85546875" customWidth="1"/>
    <col min="17" max="17" width="10.42578125" customWidth="1"/>
    <col min="18" max="18" width="13.85546875" customWidth="1"/>
    <col min="19" max="19" width="14" customWidth="1"/>
    <col min="20" max="20" width="9.28515625" customWidth="1"/>
    <col min="21" max="21" width="10.7109375" customWidth="1"/>
    <col min="22" max="22" width="15.85546875" customWidth="1"/>
    <col min="23" max="23" width="19.7109375" customWidth="1"/>
    <col min="24" max="24" width="19.5703125" customWidth="1"/>
    <col min="25" max="25" width="22.42578125" customWidth="1"/>
    <col min="26" max="26" width="2.85546875" customWidth="1"/>
    <col min="27" max="27" width="12.140625" bestFit="1" customWidth="1"/>
    <col min="28" max="239" width="9.140625" customWidth="1"/>
    <col min="240" max="240" width="4.42578125" customWidth="1"/>
    <col min="241" max="241" width="21.5703125" customWidth="1"/>
    <col min="242" max="242" width="17.28515625" customWidth="1"/>
    <col min="243" max="243" width="16.42578125" customWidth="1"/>
    <col min="244" max="244" width="9.85546875" customWidth="1"/>
    <col min="245" max="245" width="9.140625" customWidth="1"/>
    <col min="246" max="246" width="14.28515625" customWidth="1"/>
    <col min="247" max="247" width="8.42578125" customWidth="1"/>
    <col min="248" max="248" width="6.7109375" customWidth="1"/>
    <col min="249" max="249" width="7.42578125" customWidth="1"/>
    <col min="257" max="257" width="4.42578125" customWidth="1"/>
    <col min="258" max="258" width="7.42578125" customWidth="1"/>
    <col min="259" max="259" width="6.7109375" customWidth="1"/>
    <col min="260" max="260" width="26.42578125" customWidth="1"/>
    <col min="261" max="261" width="17.5703125" customWidth="1"/>
    <col min="262" max="262" width="13" bestFit="1" customWidth="1"/>
    <col min="263" max="263" width="11.28515625" customWidth="1"/>
    <col min="264" max="264" width="14.28515625" customWidth="1"/>
    <col min="265" max="265" width="12.7109375" customWidth="1"/>
    <col min="266" max="267" width="0" hidden="1" customWidth="1"/>
    <col min="268" max="268" width="8.5703125" customWidth="1"/>
    <col min="269" max="269" width="14.7109375" bestFit="1" customWidth="1"/>
    <col min="270" max="270" width="13.7109375" customWidth="1"/>
    <col min="271" max="271" width="16.28515625" bestFit="1" customWidth="1"/>
    <col min="272" max="272" width="14.85546875" customWidth="1"/>
    <col min="273" max="273" width="12.140625" customWidth="1"/>
    <col min="274" max="275" width="11.42578125" bestFit="1" customWidth="1"/>
    <col min="276" max="277" width="9.7109375" customWidth="1"/>
    <col min="278" max="278" width="15.85546875" customWidth="1"/>
    <col min="279" max="279" width="14.7109375" customWidth="1"/>
    <col min="280" max="280" width="14.85546875" customWidth="1"/>
    <col min="281" max="281" width="22.42578125" customWidth="1"/>
    <col min="282" max="282" width="2.85546875" customWidth="1"/>
    <col min="283" max="283" width="12.140625" bestFit="1" customWidth="1"/>
    <col min="284" max="495" width="9.140625" customWidth="1"/>
    <col min="496" max="496" width="4.42578125" customWidth="1"/>
    <col min="497" max="497" width="21.5703125" customWidth="1"/>
    <col min="498" max="498" width="17.28515625" customWidth="1"/>
    <col min="499" max="499" width="16.42578125" customWidth="1"/>
    <col min="500" max="500" width="9.85546875" customWidth="1"/>
    <col min="501" max="501" width="9.140625" customWidth="1"/>
    <col min="502" max="502" width="14.28515625" customWidth="1"/>
    <col min="503" max="503" width="8.42578125" customWidth="1"/>
    <col min="504" max="504" width="6.7109375" customWidth="1"/>
    <col min="505" max="505" width="7.42578125" customWidth="1"/>
    <col min="513" max="513" width="4.42578125" customWidth="1"/>
    <col min="514" max="514" width="7.42578125" customWidth="1"/>
    <col min="515" max="515" width="6.7109375" customWidth="1"/>
    <col min="516" max="516" width="26.42578125" customWidth="1"/>
    <col min="517" max="517" width="17.5703125" customWidth="1"/>
    <col min="518" max="518" width="13" bestFit="1" customWidth="1"/>
    <col min="519" max="519" width="11.28515625" customWidth="1"/>
    <col min="520" max="520" width="14.28515625" customWidth="1"/>
    <col min="521" max="521" width="12.7109375" customWidth="1"/>
    <col min="522" max="523" width="0" hidden="1" customWidth="1"/>
    <col min="524" max="524" width="8.5703125" customWidth="1"/>
    <col min="525" max="525" width="14.7109375" bestFit="1" customWidth="1"/>
    <col min="526" max="526" width="13.7109375" customWidth="1"/>
    <col min="527" max="527" width="16.28515625" bestFit="1" customWidth="1"/>
    <col min="528" max="528" width="14.85546875" customWidth="1"/>
    <col min="529" max="529" width="12.140625" customWidth="1"/>
    <col min="530" max="531" width="11.42578125" bestFit="1" customWidth="1"/>
    <col min="532" max="533" width="9.7109375" customWidth="1"/>
    <col min="534" max="534" width="15.85546875" customWidth="1"/>
    <col min="535" max="535" width="14.7109375" customWidth="1"/>
    <col min="536" max="536" width="14.85546875" customWidth="1"/>
    <col min="537" max="537" width="22.42578125" customWidth="1"/>
    <col min="538" max="538" width="2.85546875" customWidth="1"/>
    <col min="539" max="539" width="12.140625" bestFit="1" customWidth="1"/>
    <col min="540" max="751" width="9.140625" customWidth="1"/>
    <col min="752" max="752" width="4.42578125" customWidth="1"/>
    <col min="753" max="753" width="21.5703125" customWidth="1"/>
    <col min="754" max="754" width="17.28515625" customWidth="1"/>
    <col min="755" max="755" width="16.42578125" customWidth="1"/>
    <col min="756" max="756" width="9.85546875" customWidth="1"/>
    <col min="757" max="757" width="9.140625" customWidth="1"/>
    <col min="758" max="758" width="14.28515625" customWidth="1"/>
    <col min="759" max="759" width="8.42578125" customWidth="1"/>
    <col min="760" max="760" width="6.7109375" customWidth="1"/>
    <col min="761" max="761" width="7.42578125" customWidth="1"/>
    <col min="769" max="769" width="4.42578125" customWidth="1"/>
    <col min="770" max="770" width="7.42578125" customWidth="1"/>
    <col min="771" max="771" width="6.7109375" customWidth="1"/>
    <col min="772" max="772" width="26.42578125" customWidth="1"/>
    <col min="773" max="773" width="17.5703125" customWidth="1"/>
    <col min="774" max="774" width="13" bestFit="1" customWidth="1"/>
    <col min="775" max="775" width="11.28515625" customWidth="1"/>
    <col min="776" max="776" width="14.28515625" customWidth="1"/>
    <col min="777" max="777" width="12.7109375" customWidth="1"/>
    <col min="778" max="779" width="0" hidden="1" customWidth="1"/>
    <col min="780" max="780" width="8.5703125" customWidth="1"/>
    <col min="781" max="781" width="14.7109375" bestFit="1" customWidth="1"/>
    <col min="782" max="782" width="13.7109375" customWidth="1"/>
    <col min="783" max="783" width="16.28515625" bestFit="1" customWidth="1"/>
    <col min="784" max="784" width="14.85546875" customWidth="1"/>
    <col min="785" max="785" width="12.140625" customWidth="1"/>
    <col min="786" max="787" width="11.42578125" bestFit="1" customWidth="1"/>
    <col min="788" max="789" width="9.7109375" customWidth="1"/>
    <col min="790" max="790" width="15.85546875" customWidth="1"/>
    <col min="791" max="791" width="14.7109375" customWidth="1"/>
    <col min="792" max="792" width="14.85546875" customWidth="1"/>
    <col min="793" max="793" width="22.42578125" customWidth="1"/>
    <col min="794" max="794" width="2.85546875" customWidth="1"/>
    <col min="795" max="795" width="12.140625" bestFit="1" customWidth="1"/>
    <col min="796" max="1007" width="9.140625" customWidth="1"/>
    <col min="1008" max="1008" width="4.42578125" customWidth="1"/>
    <col min="1009" max="1009" width="21.5703125" customWidth="1"/>
    <col min="1010" max="1010" width="17.28515625" customWidth="1"/>
    <col min="1011" max="1011" width="16.42578125" customWidth="1"/>
    <col min="1012" max="1012" width="9.85546875" customWidth="1"/>
    <col min="1013" max="1013" width="9.140625" customWidth="1"/>
    <col min="1014" max="1014" width="14.28515625" customWidth="1"/>
    <col min="1015" max="1015" width="8.42578125" customWidth="1"/>
    <col min="1016" max="1016" width="6.7109375" customWidth="1"/>
    <col min="1017" max="1017" width="7.42578125" customWidth="1"/>
    <col min="1025" max="1025" width="4.42578125" customWidth="1"/>
    <col min="1026" max="1026" width="7.42578125" customWidth="1"/>
    <col min="1027" max="1027" width="6.7109375" customWidth="1"/>
    <col min="1028" max="1028" width="26.42578125" customWidth="1"/>
    <col min="1029" max="1029" width="17.5703125" customWidth="1"/>
    <col min="1030" max="1030" width="13" bestFit="1" customWidth="1"/>
    <col min="1031" max="1031" width="11.28515625" customWidth="1"/>
    <col min="1032" max="1032" width="14.28515625" customWidth="1"/>
    <col min="1033" max="1033" width="12.7109375" customWidth="1"/>
    <col min="1034" max="1035" width="0" hidden="1" customWidth="1"/>
    <col min="1036" max="1036" width="8.5703125" customWidth="1"/>
    <col min="1037" max="1037" width="14.7109375" bestFit="1" customWidth="1"/>
    <col min="1038" max="1038" width="13.7109375" customWidth="1"/>
    <col min="1039" max="1039" width="16.28515625" bestFit="1" customWidth="1"/>
    <col min="1040" max="1040" width="14.85546875" customWidth="1"/>
    <col min="1041" max="1041" width="12.140625" customWidth="1"/>
    <col min="1042" max="1043" width="11.42578125" bestFit="1" customWidth="1"/>
    <col min="1044" max="1045" width="9.7109375" customWidth="1"/>
    <col min="1046" max="1046" width="15.85546875" customWidth="1"/>
    <col min="1047" max="1047" width="14.7109375" customWidth="1"/>
    <col min="1048" max="1048" width="14.85546875" customWidth="1"/>
    <col min="1049" max="1049" width="22.42578125" customWidth="1"/>
    <col min="1050" max="1050" width="2.85546875" customWidth="1"/>
    <col min="1051" max="1051" width="12.140625" bestFit="1" customWidth="1"/>
    <col min="1052" max="1263" width="9.140625" customWidth="1"/>
    <col min="1264" max="1264" width="4.42578125" customWidth="1"/>
    <col min="1265" max="1265" width="21.5703125" customWidth="1"/>
    <col min="1266" max="1266" width="17.28515625" customWidth="1"/>
    <col min="1267" max="1267" width="16.42578125" customWidth="1"/>
    <col min="1268" max="1268" width="9.85546875" customWidth="1"/>
    <col min="1269" max="1269" width="9.140625" customWidth="1"/>
    <col min="1270" max="1270" width="14.28515625" customWidth="1"/>
    <col min="1271" max="1271" width="8.42578125" customWidth="1"/>
    <col min="1272" max="1272" width="6.7109375" customWidth="1"/>
    <col min="1273" max="1273" width="7.42578125" customWidth="1"/>
    <col min="1281" max="1281" width="4.42578125" customWidth="1"/>
    <col min="1282" max="1282" width="7.42578125" customWidth="1"/>
    <col min="1283" max="1283" width="6.7109375" customWidth="1"/>
    <col min="1284" max="1284" width="26.42578125" customWidth="1"/>
    <col min="1285" max="1285" width="17.5703125" customWidth="1"/>
    <col min="1286" max="1286" width="13" bestFit="1" customWidth="1"/>
    <col min="1287" max="1287" width="11.28515625" customWidth="1"/>
    <col min="1288" max="1288" width="14.28515625" customWidth="1"/>
    <col min="1289" max="1289" width="12.7109375" customWidth="1"/>
    <col min="1290" max="1291" width="0" hidden="1" customWidth="1"/>
    <col min="1292" max="1292" width="8.5703125" customWidth="1"/>
    <col min="1293" max="1293" width="14.7109375" bestFit="1" customWidth="1"/>
    <col min="1294" max="1294" width="13.7109375" customWidth="1"/>
    <col min="1295" max="1295" width="16.28515625" bestFit="1" customWidth="1"/>
    <col min="1296" max="1296" width="14.85546875" customWidth="1"/>
    <col min="1297" max="1297" width="12.140625" customWidth="1"/>
    <col min="1298" max="1299" width="11.42578125" bestFit="1" customWidth="1"/>
    <col min="1300" max="1301" width="9.7109375" customWidth="1"/>
    <col min="1302" max="1302" width="15.85546875" customWidth="1"/>
    <col min="1303" max="1303" width="14.7109375" customWidth="1"/>
    <col min="1304" max="1304" width="14.85546875" customWidth="1"/>
    <col min="1305" max="1305" width="22.42578125" customWidth="1"/>
    <col min="1306" max="1306" width="2.85546875" customWidth="1"/>
    <col min="1307" max="1307" width="12.140625" bestFit="1" customWidth="1"/>
    <col min="1308" max="1519" width="9.140625" customWidth="1"/>
    <col min="1520" max="1520" width="4.42578125" customWidth="1"/>
    <col min="1521" max="1521" width="21.5703125" customWidth="1"/>
    <col min="1522" max="1522" width="17.28515625" customWidth="1"/>
    <col min="1523" max="1523" width="16.42578125" customWidth="1"/>
    <col min="1524" max="1524" width="9.85546875" customWidth="1"/>
    <col min="1525" max="1525" width="9.140625" customWidth="1"/>
    <col min="1526" max="1526" width="14.28515625" customWidth="1"/>
    <col min="1527" max="1527" width="8.42578125" customWidth="1"/>
    <col min="1528" max="1528" width="6.7109375" customWidth="1"/>
    <col min="1529" max="1529" width="7.42578125" customWidth="1"/>
    <col min="1537" max="1537" width="4.42578125" customWidth="1"/>
    <col min="1538" max="1538" width="7.42578125" customWidth="1"/>
    <col min="1539" max="1539" width="6.7109375" customWidth="1"/>
    <col min="1540" max="1540" width="26.42578125" customWidth="1"/>
    <col min="1541" max="1541" width="17.5703125" customWidth="1"/>
    <col min="1542" max="1542" width="13" bestFit="1" customWidth="1"/>
    <col min="1543" max="1543" width="11.28515625" customWidth="1"/>
    <col min="1544" max="1544" width="14.28515625" customWidth="1"/>
    <col min="1545" max="1545" width="12.7109375" customWidth="1"/>
    <col min="1546" max="1547" width="0" hidden="1" customWidth="1"/>
    <col min="1548" max="1548" width="8.5703125" customWidth="1"/>
    <col min="1549" max="1549" width="14.7109375" bestFit="1" customWidth="1"/>
    <col min="1550" max="1550" width="13.7109375" customWidth="1"/>
    <col min="1551" max="1551" width="16.28515625" bestFit="1" customWidth="1"/>
    <col min="1552" max="1552" width="14.85546875" customWidth="1"/>
    <col min="1553" max="1553" width="12.140625" customWidth="1"/>
    <col min="1554" max="1555" width="11.42578125" bestFit="1" customWidth="1"/>
    <col min="1556" max="1557" width="9.7109375" customWidth="1"/>
    <col min="1558" max="1558" width="15.85546875" customWidth="1"/>
    <col min="1559" max="1559" width="14.7109375" customWidth="1"/>
    <col min="1560" max="1560" width="14.85546875" customWidth="1"/>
    <col min="1561" max="1561" width="22.42578125" customWidth="1"/>
    <col min="1562" max="1562" width="2.85546875" customWidth="1"/>
    <col min="1563" max="1563" width="12.140625" bestFit="1" customWidth="1"/>
    <col min="1564" max="1775" width="9.140625" customWidth="1"/>
    <col min="1776" max="1776" width="4.42578125" customWidth="1"/>
    <col min="1777" max="1777" width="21.5703125" customWidth="1"/>
    <col min="1778" max="1778" width="17.28515625" customWidth="1"/>
    <col min="1779" max="1779" width="16.42578125" customWidth="1"/>
    <col min="1780" max="1780" width="9.85546875" customWidth="1"/>
    <col min="1781" max="1781" width="9.140625" customWidth="1"/>
    <col min="1782" max="1782" width="14.28515625" customWidth="1"/>
    <col min="1783" max="1783" width="8.42578125" customWidth="1"/>
    <col min="1784" max="1784" width="6.7109375" customWidth="1"/>
    <col min="1785" max="1785" width="7.42578125" customWidth="1"/>
    <col min="1793" max="1793" width="4.42578125" customWidth="1"/>
    <col min="1794" max="1794" width="7.42578125" customWidth="1"/>
    <col min="1795" max="1795" width="6.7109375" customWidth="1"/>
    <col min="1796" max="1796" width="26.42578125" customWidth="1"/>
    <col min="1797" max="1797" width="17.5703125" customWidth="1"/>
    <col min="1798" max="1798" width="13" bestFit="1" customWidth="1"/>
    <col min="1799" max="1799" width="11.28515625" customWidth="1"/>
    <col min="1800" max="1800" width="14.28515625" customWidth="1"/>
    <col min="1801" max="1801" width="12.7109375" customWidth="1"/>
    <col min="1802" max="1803" width="0" hidden="1" customWidth="1"/>
    <col min="1804" max="1804" width="8.5703125" customWidth="1"/>
    <col min="1805" max="1805" width="14.7109375" bestFit="1" customWidth="1"/>
    <col min="1806" max="1806" width="13.7109375" customWidth="1"/>
    <col min="1807" max="1807" width="16.28515625" bestFit="1" customWidth="1"/>
    <col min="1808" max="1808" width="14.85546875" customWidth="1"/>
    <col min="1809" max="1809" width="12.140625" customWidth="1"/>
    <col min="1810" max="1811" width="11.42578125" bestFit="1" customWidth="1"/>
    <col min="1812" max="1813" width="9.7109375" customWidth="1"/>
    <col min="1814" max="1814" width="15.85546875" customWidth="1"/>
    <col min="1815" max="1815" width="14.7109375" customWidth="1"/>
    <col min="1816" max="1816" width="14.85546875" customWidth="1"/>
    <col min="1817" max="1817" width="22.42578125" customWidth="1"/>
    <col min="1818" max="1818" width="2.85546875" customWidth="1"/>
    <col min="1819" max="1819" width="12.140625" bestFit="1" customWidth="1"/>
    <col min="1820" max="2031" width="9.140625" customWidth="1"/>
    <col min="2032" max="2032" width="4.42578125" customWidth="1"/>
    <col min="2033" max="2033" width="21.5703125" customWidth="1"/>
    <col min="2034" max="2034" width="17.28515625" customWidth="1"/>
    <col min="2035" max="2035" width="16.42578125" customWidth="1"/>
    <col min="2036" max="2036" width="9.85546875" customWidth="1"/>
    <col min="2037" max="2037" width="9.140625" customWidth="1"/>
    <col min="2038" max="2038" width="14.28515625" customWidth="1"/>
    <col min="2039" max="2039" width="8.42578125" customWidth="1"/>
    <col min="2040" max="2040" width="6.7109375" customWidth="1"/>
    <col min="2041" max="2041" width="7.42578125" customWidth="1"/>
    <col min="2049" max="2049" width="4.42578125" customWidth="1"/>
    <col min="2050" max="2050" width="7.42578125" customWidth="1"/>
    <col min="2051" max="2051" width="6.7109375" customWidth="1"/>
    <col min="2052" max="2052" width="26.42578125" customWidth="1"/>
    <col min="2053" max="2053" width="17.5703125" customWidth="1"/>
    <col min="2054" max="2054" width="13" bestFit="1" customWidth="1"/>
    <col min="2055" max="2055" width="11.28515625" customWidth="1"/>
    <col min="2056" max="2056" width="14.28515625" customWidth="1"/>
    <col min="2057" max="2057" width="12.7109375" customWidth="1"/>
    <col min="2058" max="2059" width="0" hidden="1" customWidth="1"/>
    <col min="2060" max="2060" width="8.5703125" customWidth="1"/>
    <col min="2061" max="2061" width="14.7109375" bestFit="1" customWidth="1"/>
    <col min="2062" max="2062" width="13.7109375" customWidth="1"/>
    <col min="2063" max="2063" width="16.28515625" bestFit="1" customWidth="1"/>
    <col min="2064" max="2064" width="14.85546875" customWidth="1"/>
    <col min="2065" max="2065" width="12.140625" customWidth="1"/>
    <col min="2066" max="2067" width="11.42578125" bestFit="1" customWidth="1"/>
    <col min="2068" max="2069" width="9.7109375" customWidth="1"/>
    <col min="2070" max="2070" width="15.85546875" customWidth="1"/>
    <col min="2071" max="2071" width="14.7109375" customWidth="1"/>
    <col min="2072" max="2072" width="14.85546875" customWidth="1"/>
    <col min="2073" max="2073" width="22.42578125" customWidth="1"/>
    <col min="2074" max="2074" width="2.85546875" customWidth="1"/>
    <col min="2075" max="2075" width="12.140625" bestFit="1" customWidth="1"/>
    <col min="2076" max="2287" width="9.140625" customWidth="1"/>
    <col min="2288" max="2288" width="4.42578125" customWidth="1"/>
    <col min="2289" max="2289" width="21.5703125" customWidth="1"/>
    <col min="2290" max="2290" width="17.28515625" customWidth="1"/>
    <col min="2291" max="2291" width="16.42578125" customWidth="1"/>
    <col min="2292" max="2292" width="9.85546875" customWidth="1"/>
    <col min="2293" max="2293" width="9.140625" customWidth="1"/>
    <col min="2294" max="2294" width="14.28515625" customWidth="1"/>
    <col min="2295" max="2295" width="8.42578125" customWidth="1"/>
    <col min="2296" max="2296" width="6.7109375" customWidth="1"/>
    <col min="2297" max="2297" width="7.42578125" customWidth="1"/>
    <col min="2305" max="2305" width="4.42578125" customWidth="1"/>
    <col min="2306" max="2306" width="7.42578125" customWidth="1"/>
    <col min="2307" max="2307" width="6.7109375" customWidth="1"/>
    <col min="2308" max="2308" width="26.42578125" customWidth="1"/>
    <col min="2309" max="2309" width="17.5703125" customWidth="1"/>
    <col min="2310" max="2310" width="13" bestFit="1" customWidth="1"/>
    <col min="2311" max="2311" width="11.28515625" customWidth="1"/>
    <col min="2312" max="2312" width="14.28515625" customWidth="1"/>
    <col min="2313" max="2313" width="12.7109375" customWidth="1"/>
    <col min="2314" max="2315" width="0" hidden="1" customWidth="1"/>
    <col min="2316" max="2316" width="8.5703125" customWidth="1"/>
    <col min="2317" max="2317" width="14.7109375" bestFit="1" customWidth="1"/>
    <col min="2318" max="2318" width="13.7109375" customWidth="1"/>
    <col min="2319" max="2319" width="16.28515625" bestFit="1" customWidth="1"/>
    <col min="2320" max="2320" width="14.85546875" customWidth="1"/>
    <col min="2321" max="2321" width="12.140625" customWidth="1"/>
    <col min="2322" max="2323" width="11.42578125" bestFit="1" customWidth="1"/>
    <col min="2324" max="2325" width="9.7109375" customWidth="1"/>
    <col min="2326" max="2326" width="15.85546875" customWidth="1"/>
    <col min="2327" max="2327" width="14.7109375" customWidth="1"/>
    <col min="2328" max="2328" width="14.85546875" customWidth="1"/>
    <col min="2329" max="2329" width="22.42578125" customWidth="1"/>
    <col min="2330" max="2330" width="2.85546875" customWidth="1"/>
    <col min="2331" max="2331" width="12.140625" bestFit="1" customWidth="1"/>
    <col min="2332" max="2543" width="9.140625" customWidth="1"/>
    <col min="2544" max="2544" width="4.42578125" customWidth="1"/>
    <col min="2545" max="2545" width="21.5703125" customWidth="1"/>
    <col min="2546" max="2546" width="17.28515625" customWidth="1"/>
    <col min="2547" max="2547" width="16.42578125" customWidth="1"/>
    <col min="2548" max="2548" width="9.85546875" customWidth="1"/>
    <col min="2549" max="2549" width="9.140625" customWidth="1"/>
    <col min="2550" max="2550" width="14.28515625" customWidth="1"/>
    <col min="2551" max="2551" width="8.42578125" customWidth="1"/>
    <col min="2552" max="2552" width="6.7109375" customWidth="1"/>
    <col min="2553" max="2553" width="7.42578125" customWidth="1"/>
    <col min="2561" max="2561" width="4.42578125" customWidth="1"/>
    <col min="2562" max="2562" width="7.42578125" customWidth="1"/>
    <col min="2563" max="2563" width="6.7109375" customWidth="1"/>
    <col min="2564" max="2564" width="26.42578125" customWidth="1"/>
    <col min="2565" max="2565" width="17.5703125" customWidth="1"/>
    <col min="2566" max="2566" width="13" bestFit="1" customWidth="1"/>
    <col min="2567" max="2567" width="11.28515625" customWidth="1"/>
    <col min="2568" max="2568" width="14.28515625" customWidth="1"/>
    <col min="2569" max="2569" width="12.7109375" customWidth="1"/>
    <col min="2570" max="2571" width="0" hidden="1" customWidth="1"/>
    <col min="2572" max="2572" width="8.5703125" customWidth="1"/>
    <col min="2573" max="2573" width="14.7109375" bestFit="1" customWidth="1"/>
    <col min="2574" max="2574" width="13.7109375" customWidth="1"/>
    <col min="2575" max="2575" width="16.28515625" bestFit="1" customWidth="1"/>
    <col min="2576" max="2576" width="14.85546875" customWidth="1"/>
    <col min="2577" max="2577" width="12.140625" customWidth="1"/>
    <col min="2578" max="2579" width="11.42578125" bestFit="1" customWidth="1"/>
    <col min="2580" max="2581" width="9.7109375" customWidth="1"/>
    <col min="2582" max="2582" width="15.85546875" customWidth="1"/>
    <col min="2583" max="2583" width="14.7109375" customWidth="1"/>
    <col min="2584" max="2584" width="14.85546875" customWidth="1"/>
    <col min="2585" max="2585" width="22.42578125" customWidth="1"/>
    <col min="2586" max="2586" width="2.85546875" customWidth="1"/>
    <col min="2587" max="2587" width="12.140625" bestFit="1" customWidth="1"/>
    <col min="2588" max="2799" width="9.140625" customWidth="1"/>
    <col min="2800" max="2800" width="4.42578125" customWidth="1"/>
    <col min="2801" max="2801" width="21.5703125" customWidth="1"/>
    <col min="2802" max="2802" width="17.28515625" customWidth="1"/>
    <col min="2803" max="2803" width="16.42578125" customWidth="1"/>
    <col min="2804" max="2804" width="9.85546875" customWidth="1"/>
    <col min="2805" max="2805" width="9.140625" customWidth="1"/>
    <col min="2806" max="2806" width="14.28515625" customWidth="1"/>
    <col min="2807" max="2807" width="8.42578125" customWidth="1"/>
    <col min="2808" max="2808" width="6.7109375" customWidth="1"/>
    <col min="2809" max="2809" width="7.42578125" customWidth="1"/>
    <col min="2817" max="2817" width="4.42578125" customWidth="1"/>
    <col min="2818" max="2818" width="7.42578125" customWidth="1"/>
    <col min="2819" max="2819" width="6.7109375" customWidth="1"/>
    <col min="2820" max="2820" width="26.42578125" customWidth="1"/>
    <col min="2821" max="2821" width="17.5703125" customWidth="1"/>
    <col min="2822" max="2822" width="13" bestFit="1" customWidth="1"/>
    <col min="2823" max="2823" width="11.28515625" customWidth="1"/>
    <col min="2824" max="2824" width="14.28515625" customWidth="1"/>
    <col min="2825" max="2825" width="12.7109375" customWidth="1"/>
    <col min="2826" max="2827" width="0" hidden="1" customWidth="1"/>
    <col min="2828" max="2828" width="8.5703125" customWidth="1"/>
    <col min="2829" max="2829" width="14.7109375" bestFit="1" customWidth="1"/>
    <col min="2830" max="2830" width="13.7109375" customWidth="1"/>
    <col min="2831" max="2831" width="16.28515625" bestFit="1" customWidth="1"/>
    <col min="2832" max="2832" width="14.85546875" customWidth="1"/>
    <col min="2833" max="2833" width="12.140625" customWidth="1"/>
    <col min="2834" max="2835" width="11.42578125" bestFit="1" customWidth="1"/>
    <col min="2836" max="2837" width="9.7109375" customWidth="1"/>
    <col min="2838" max="2838" width="15.85546875" customWidth="1"/>
    <col min="2839" max="2839" width="14.7109375" customWidth="1"/>
    <col min="2840" max="2840" width="14.85546875" customWidth="1"/>
    <col min="2841" max="2841" width="22.42578125" customWidth="1"/>
    <col min="2842" max="2842" width="2.85546875" customWidth="1"/>
    <col min="2843" max="2843" width="12.140625" bestFit="1" customWidth="1"/>
    <col min="2844" max="3055" width="9.140625" customWidth="1"/>
    <col min="3056" max="3056" width="4.42578125" customWidth="1"/>
    <col min="3057" max="3057" width="21.5703125" customWidth="1"/>
    <col min="3058" max="3058" width="17.28515625" customWidth="1"/>
    <col min="3059" max="3059" width="16.42578125" customWidth="1"/>
    <col min="3060" max="3060" width="9.85546875" customWidth="1"/>
    <col min="3061" max="3061" width="9.140625" customWidth="1"/>
    <col min="3062" max="3062" width="14.28515625" customWidth="1"/>
    <col min="3063" max="3063" width="8.42578125" customWidth="1"/>
    <col min="3064" max="3064" width="6.7109375" customWidth="1"/>
    <col min="3065" max="3065" width="7.42578125" customWidth="1"/>
    <col min="3073" max="3073" width="4.42578125" customWidth="1"/>
    <col min="3074" max="3074" width="7.42578125" customWidth="1"/>
    <col min="3075" max="3075" width="6.7109375" customWidth="1"/>
    <col min="3076" max="3076" width="26.42578125" customWidth="1"/>
    <col min="3077" max="3077" width="17.5703125" customWidth="1"/>
    <col min="3078" max="3078" width="13" bestFit="1" customWidth="1"/>
    <col min="3079" max="3079" width="11.28515625" customWidth="1"/>
    <col min="3080" max="3080" width="14.28515625" customWidth="1"/>
    <col min="3081" max="3081" width="12.7109375" customWidth="1"/>
    <col min="3082" max="3083" width="0" hidden="1" customWidth="1"/>
    <col min="3084" max="3084" width="8.5703125" customWidth="1"/>
    <col min="3085" max="3085" width="14.7109375" bestFit="1" customWidth="1"/>
    <col min="3086" max="3086" width="13.7109375" customWidth="1"/>
    <col min="3087" max="3087" width="16.28515625" bestFit="1" customWidth="1"/>
    <col min="3088" max="3088" width="14.85546875" customWidth="1"/>
    <col min="3089" max="3089" width="12.140625" customWidth="1"/>
    <col min="3090" max="3091" width="11.42578125" bestFit="1" customWidth="1"/>
    <col min="3092" max="3093" width="9.7109375" customWidth="1"/>
    <col min="3094" max="3094" width="15.85546875" customWidth="1"/>
    <col min="3095" max="3095" width="14.7109375" customWidth="1"/>
    <col min="3096" max="3096" width="14.85546875" customWidth="1"/>
    <col min="3097" max="3097" width="22.42578125" customWidth="1"/>
    <col min="3098" max="3098" width="2.85546875" customWidth="1"/>
    <col min="3099" max="3099" width="12.140625" bestFit="1" customWidth="1"/>
    <col min="3100" max="3311" width="9.140625" customWidth="1"/>
    <col min="3312" max="3312" width="4.42578125" customWidth="1"/>
    <col min="3313" max="3313" width="21.5703125" customWidth="1"/>
    <col min="3314" max="3314" width="17.28515625" customWidth="1"/>
    <col min="3315" max="3315" width="16.42578125" customWidth="1"/>
    <col min="3316" max="3316" width="9.85546875" customWidth="1"/>
    <col min="3317" max="3317" width="9.140625" customWidth="1"/>
    <col min="3318" max="3318" width="14.28515625" customWidth="1"/>
    <col min="3319" max="3319" width="8.42578125" customWidth="1"/>
    <col min="3320" max="3320" width="6.7109375" customWidth="1"/>
    <col min="3321" max="3321" width="7.42578125" customWidth="1"/>
    <col min="3329" max="3329" width="4.42578125" customWidth="1"/>
    <col min="3330" max="3330" width="7.42578125" customWidth="1"/>
    <col min="3331" max="3331" width="6.7109375" customWidth="1"/>
    <col min="3332" max="3332" width="26.42578125" customWidth="1"/>
    <col min="3333" max="3333" width="17.5703125" customWidth="1"/>
    <col min="3334" max="3334" width="13" bestFit="1" customWidth="1"/>
    <col min="3335" max="3335" width="11.28515625" customWidth="1"/>
    <col min="3336" max="3336" width="14.28515625" customWidth="1"/>
    <col min="3337" max="3337" width="12.7109375" customWidth="1"/>
    <col min="3338" max="3339" width="0" hidden="1" customWidth="1"/>
    <col min="3340" max="3340" width="8.5703125" customWidth="1"/>
    <col min="3341" max="3341" width="14.7109375" bestFit="1" customWidth="1"/>
    <col min="3342" max="3342" width="13.7109375" customWidth="1"/>
    <col min="3343" max="3343" width="16.28515625" bestFit="1" customWidth="1"/>
    <col min="3344" max="3344" width="14.85546875" customWidth="1"/>
    <col min="3345" max="3345" width="12.140625" customWidth="1"/>
    <col min="3346" max="3347" width="11.42578125" bestFit="1" customWidth="1"/>
    <col min="3348" max="3349" width="9.7109375" customWidth="1"/>
    <col min="3350" max="3350" width="15.85546875" customWidth="1"/>
    <col min="3351" max="3351" width="14.7109375" customWidth="1"/>
    <col min="3352" max="3352" width="14.85546875" customWidth="1"/>
    <col min="3353" max="3353" width="22.42578125" customWidth="1"/>
    <col min="3354" max="3354" width="2.85546875" customWidth="1"/>
    <col min="3355" max="3355" width="12.140625" bestFit="1" customWidth="1"/>
    <col min="3356" max="3567" width="9.140625" customWidth="1"/>
    <col min="3568" max="3568" width="4.42578125" customWidth="1"/>
    <col min="3569" max="3569" width="21.5703125" customWidth="1"/>
    <col min="3570" max="3570" width="17.28515625" customWidth="1"/>
    <col min="3571" max="3571" width="16.42578125" customWidth="1"/>
    <col min="3572" max="3572" width="9.85546875" customWidth="1"/>
    <col min="3573" max="3573" width="9.140625" customWidth="1"/>
    <col min="3574" max="3574" width="14.28515625" customWidth="1"/>
    <col min="3575" max="3575" width="8.42578125" customWidth="1"/>
    <col min="3576" max="3576" width="6.7109375" customWidth="1"/>
    <col min="3577" max="3577" width="7.42578125" customWidth="1"/>
    <col min="3585" max="3585" width="4.42578125" customWidth="1"/>
    <col min="3586" max="3586" width="7.42578125" customWidth="1"/>
    <col min="3587" max="3587" width="6.7109375" customWidth="1"/>
    <col min="3588" max="3588" width="26.42578125" customWidth="1"/>
    <col min="3589" max="3589" width="17.5703125" customWidth="1"/>
    <col min="3590" max="3590" width="13" bestFit="1" customWidth="1"/>
    <col min="3591" max="3591" width="11.28515625" customWidth="1"/>
    <col min="3592" max="3592" width="14.28515625" customWidth="1"/>
    <col min="3593" max="3593" width="12.7109375" customWidth="1"/>
    <col min="3594" max="3595" width="0" hidden="1" customWidth="1"/>
    <col min="3596" max="3596" width="8.5703125" customWidth="1"/>
    <col min="3597" max="3597" width="14.7109375" bestFit="1" customWidth="1"/>
    <col min="3598" max="3598" width="13.7109375" customWidth="1"/>
    <col min="3599" max="3599" width="16.28515625" bestFit="1" customWidth="1"/>
    <col min="3600" max="3600" width="14.85546875" customWidth="1"/>
    <col min="3601" max="3601" width="12.140625" customWidth="1"/>
    <col min="3602" max="3603" width="11.42578125" bestFit="1" customWidth="1"/>
    <col min="3604" max="3605" width="9.7109375" customWidth="1"/>
    <col min="3606" max="3606" width="15.85546875" customWidth="1"/>
    <col min="3607" max="3607" width="14.7109375" customWidth="1"/>
    <col min="3608" max="3608" width="14.85546875" customWidth="1"/>
    <col min="3609" max="3609" width="22.42578125" customWidth="1"/>
    <col min="3610" max="3610" width="2.85546875" customWidth="1"/>
    <col min="3611" max="3611" width="12.140625" bestFit="1" customWidth="1"/>
    <col min="3612" max="3823" width="9.140625" customWidth="1"/>
    <col min="3824" max="3824" width="4.42578125" customWidth="1"/>
    <col min="3825" max="3825" width="21.5703125" customWidth="1"/>
    <col min="3826" max="3826" width="17.28515625" customWidth="1"/>
    <col min="3827" max="3827" width="16.42578125" customWidth="1"/>
    <col min="3828" max="3828" width="9.85546875" customWidth="1"/>
    <col min="3829" max="3829" width="9.140625" customWidth="1"/>
    <col min="3830" max="3830" width="14.28515625" customWidth="1"/>
    <col min="3831" max="3831" width="8.42578125" customWidth="1"/>
    <col min="3832" max="3832" width="6.7109375" customWidth="1"/>
    <col min="3833" max="3833" width="7.42578125" customWidth="1"/>
    <col min="3841" max="3841" width="4.42578125" customWidth="1"/>
    <col min="3842" max="3842" width="7.42578125" customWidth="1"/>
    <col min="3843" max="3843" width="6.7109375" customWidth="1"/>
    <col min="3844" max="3844" width="26.42578125" customWidth="1"/>
    <col min="3845" max="3845" width="17.5703125" customWidth="1"/>
    <col min="3846" max="3846" width="13" bestFit="1" customWidth="1"/>
    <col min="3847" max="3847" width="11.28515625" customWidth="1"/>
    <col min="3848" max="3848" width="14.28515625" customWidth="1"/>
    <col min="3849" max="3849" width="12.7109375" customWidth="1"/>
    <col min="3850" max="3851" width="0" hidden="1" customWidth="1"/>
    <col min="3852" max="3852" width="8.5703125" customWidth="1"/>
    <col min="3853" max="3853" width="14.7109375" bestFit="1" customWidth="1"/>
    <col min="3854" max="3854" width="13.7109375" customWidth="1"/>
    <col min="3855" max="3855" width="16.28515625" bestFit="1" customWidth="1"/>
    <col min="3856" max="3856" width="14.85546875" customWidth="1"/>
    <col min="3857" max="3857" width="12.140625" customWidth="1"/>
    <col min="3858" max="3859" width="11.42578125" bestFit="1" customWidth="1"/>
    <col min="3860" max="3861" width="9.7109375" customWidth="1"/>
    <col min="3862" max="3862" width="15.85546875" customWidth="1"/>
    <col min="3863" max="3863" width="14.7109375" customWidth="1"/>
    <col min="3864" max="3864" width="14.85546875" customWidth="1"/>
    <col min="3865" max="3865" width="22.42578125" customWidth="1"/>
    <col min="3866" max="3866" width="2.85546875" customWidth="1"/>
    <col min="3867" max="3867" width="12.140625" bestFit="1" customWidth="1"/>
    <col min="3868" max="4079" width="9.140625" customWidth="1"/>
    <col min="4080" max="4080" width="4.42578125" customWidth="1"/>
    <col min="4081" max="4081" width="21.5703125" customWidth="1"/>
    <col min="4082" max="4082" width="17.28515625" customWidth="1"/>
    <col min="4083" max="4083" width="16.42578125" customWidth="1"/>
    <col min="4084" max="4084" width="9.85546875" customWidth="1"/>
    <col min="4085" max="4085" width="9.140625" customWidth="1"/>
    <col min="4086" max="4086" width="14.28515625" customWidth="1"/>
    <col min="4087" max="4087" width="8.42578125" customWidth="1"/>
    <col min="4088" max="4088" width="6.7109375" customWidth="1"/>
    <col min="4089" max="4089" width="7.42578125" customWidth="1"/>
    <col min="4097" max="4097" width="4.42578125" customWidth="1"/>
    <col min="4098" max="4098" width="7.42578125" customWidth="1"/>
    <col min="4099" max="4099" width="6.7109375" customWidth="1"/>
    <col min="4100" max="4100" width="26.42578125" customWidth="1"/>
    <col min="4101" max="4101" width="17.5703125" customWidth="1"/>
    <col min="4102" max="4102" width="13" bestFit="1" customWidth="1"/>
    <col min="4103" max="4103" width="11.28515625" customWidth="1"/>
    <col min="4104" max="4104" width="14.28515625" customWidth="1"/>
    <col min="4105" max="4105" width="12.7109375" customWidth="1"/>
    <col min="4106" max="4107" width="0" hidden="1" customWidth="1"/>
    <col min="4108" max="4108" width="8.5703125" customWidth="1"/>
    <col min="4109" max="4109" width="14.7109375" bestFit="1" customWidth="1"/>
    <col min="4110" max="4110" width="13.7109375" customWidth="1"/>
    <col min="4111" max="4111" width="16.28515625" bestFit="1" customWidth="1"/>
    <col min="4112" max="4112" width="14.85546875" customWidth="1"/>
    <col min="4113" max="4113" width="12.140625" customWidth="1"/>
    <col min="4114" max="4115" width="11.42578125" bestFit="1" customWidth="1"/>
    <col min="4116" max="4117" width="9.7109375" customWidth="1"/>
    <col min="4118" max="4118" width="15.85546875" customWidth="1"/>
    <col min="4119" max="4119" width="14.7109375" customWidth="1"/>
    <col min="4120" max="4120" width="14.85546875" customWidth="1"/>
    <col min="4121" max="4121" width="22.42578125" customWidth="1"/>
    <col min="4122" max="4122" width="2.85546875" customWidth="1"/>
    <col min="4123" max="4123" width="12.140625" bestFit="1" customWidth="1"/>
    <col min="4124" max="4335" width="9.140625" customWidth="1"/>
    <col min="4336" max="4336" width="4.42578125" customWidth="1"/>
    <col min="4337" max="4337" width="21.5703125" customWidth="1"/>
    <col min="4338" max="4338" width="17.28515625" customWidth="1"/>
    <col min="4339" max="4339" width="16.42578125" customWidth="1"/>
    <col min="4340" max="4340" width="9.85546875" customWidth="1"/>
    <col min="4341" max="4341" width="9.140625" customWidth="1"/>
    <col min="4342" max="4342" width="14.28515625" customWidth="1"/>
    <col min="4343" max="4343" width="8.42578125" customWidth="1"/>
    <col min="4344" max="4344" width="6.7109375" customWidth="1"/>
    <col min="4345" max="4345" width="7.42578125" customWidth="1"/>
    <col min="4353" max="4353" width="4.42578125" customWidth="1"/>
    <col min="4354" max="4354" width="7.42578125" customWidth="1"/>
    <col min="4355" max="4355" width="6.7109375" customWidth="1"/>
    <col min="4356" max="4356" width="26.42578125" customWidth="1"/>
    <col min="4357" max="4357" width="17.5703125" customWidth="1"/>
    <col min="4358" max="4358" width="13" bestFit="1" customWidth="1"/>
    <col min="4359" max="4359" width="11.28515625" customWidth="1"/>
    <col min="4360" max="4360" width="14.28515625" customWidth="1"/>
    <col min="4361" max="4361" width="12.7109375" customWidth="1"/>
    <col min="4362" max="4363" width="0" hidden="1" customWidth="1"/>
    <col min="4364" max="4364" width="8.5703125" customWidth="1"/>
    <col min="4365" max="4365" width="14.7109375" bestFit="1" customWidth="1"/>
    <col min="4366" max="4366" width="13.7109375" customWidth="1"/>
    <col min="4367" max="4367" width="16.28515625" bestFit="1" customWidth="1"/>
    <col min="4368" max="4368" width="14.85546875" customWidth="1"/>
    <col min="4369" max="4369" width="12.140625" customWidth="1"/>
    <col min="4370" max="4371" width="11.42578125" bestFit="1" customWidth="1"/>
    <col min="4372" max="4373" width="9.7109375" customWidth="1"/>
    <col min="4374" max="4374" width="15.85546875" customWidth="1"/>
    <col min="4375" max="4375" width="14.7109375" customWidth="1"/>
    <col min="4376" max="4376" width="14.85546875" customWidth="1"/>
    <col min="4377" max="4377" width="22.42578125" customWidth="1"/>
    <col min="4378" max="4378" width="2.85546875" customWidth="1"/>
    <col min="4379" max="4379" width="12.140625" bestFit="1" customWidth="1"/>
    <col min="4380" max="4591" width="9.140625" customWidth="1"/>
    <col min="4592" max="4592" width="4.42578125" customWidth="1"/>
    <col min="4593" max="4593" width="21.5703125" customWidth="1"/>
    <col min="4594" max="4594" width="17.28515625" customWidth="1"/>
    <col min="4595" max="4595" width="16.42578125" customWidth="1"/>
    <col min="4596" max="4596" width="9.85546875" customWidth="1"/>
    <col min="4597" max="4597" width="9.140625" customWidth="1"/>
    <col min="4598" max="4598" width="14.28515625" customWidth="1"/>
    <col min="4599" max="4599" width="8.42578125" customWidth="1"/>
    <col min="4600" max="4600" width="6.7109375" customWidth="1"/>
    <col min="4601" max="4601" width="7.42578125" customWidth="1"/>
    <col min="4609" max="4609" width="4.42578125" customWidth="1"/>
    <col min="4610" max="4610" width="7.42578125" customWidth="1"/>
    <col min="4611" max="4611" width="6.7109375" customWidth="1"/>
    <col min="4612" max="4612" width="26.42578125" customWidth="1"/>
    <col min="4613" max="4613" width="17.5703125" customWidth="1"/>
    <col min="4614" max="4614" width="13" bestFit="1" customWidth="1"/>
    <col min="4615" max="4615" width="11.28515625" customWidth="1"/>
    <col min="4616" max="4616" width="14.28515625" customWidth="1"/>
    <col min="4617" max="4617" width="12.7109375" customWidth="1"/>
    <col min="4618" max="4619" width="0" hidden="1" customWidth="1"/>
    <col min="4620" max="4620" width="8.5703125" customWidth="1"/>
    <col min="4621" max="4621" width="14.7109375" bestFit="1" customWidth="1"/>
    <col min="4622" max="4622" width="13.7109375" customWidth="1"/>
    <col min="4623" max="4623" width="16.28515625" bestFit="1" customWidth="1"/>
    <col min="4624" max="4624" width="14.85546875" customWidth="1"/>
    <col min="4625" max="4625" width="12.140625" customWidth="1"/>
    <col min="4626" max="4627" width="11.42578125" bestFit="1" customWidth="1"/>
    <col min="4628" max="4629" width="9.7109375" customWidth="1"/>
    <col min="4630" max="4630" width="15.85546875" customWidth="1"/>
    <col min="4631" max="4631" width="14.7109375" customWidth="1"/>
    <col min="4632" max="4632" width="14.85546875" customWidth="1"/>
    <col min="4633" max="4633" width="22.42578125" customWidth="1"/>
    <col min="4634" max="4634" width="2.85546875" customWidth="1"/>
    <col min="4635" max="4635" width="12.140625" bestFit="1" customWidth="1"/>
    <col min="4636" max="4847" width="9.140625" customWidth="1"/>
    <col min="4848" max="4848" width="4.42578125" customWidth="1"/>
    <col min="4849" max="4849" width="21.5703125" customWidth="1"/>
    <col min="4850" max="4850" width="17.28515625" customWidth="1"/>
    <col min="4851" max="4851" width="16.42578125" customWidth="1"/>
    <col min="4852" max="4852" width="9.85546875" customWidth="1"/>
    <col min="4853" max="4853" width="9.140625" customWidth="1"/>
    <col min="4854" max="4854" width="14.28515625" customWidth="1"/>
    <col min="4855" max="4855" width="8.42578125" customWidth="1"/>
    <col min="4856" max="4856" width="6.7109375" customWidth="1"/>
    <col min="4857" max="4857" width="7.42578125" customWidth="1"/>
    <col min="4865" max="4865" width="4.42578125" customWidth="1"/>
    <col min="4866" max="4866" width="7.42578125" customWidth="1"/>
    <col min="4867" max="4867" width="6.7109375" customWidth="1"/>
    <col min="4868" max="4868" width="26.42578125" customWidth="1"/>
    <col min="4869" max="4869" width="17.5703125" customWidth="1"/>
    <col min="4870" max="4870" width="13" bestFit="1" customWidth="1"/>
    <col min="4871" max="4871" width="11.28515625" customWidth="1"/>
    <col min="4872" max="4872" width="14.28515625" customWidth="1"/>
    <col min="4873" max="4873" width="12.7109375" customWidth="1"/>
    <col min="4874" max="4875" width="0" hidden="1" customWidth="1"/>
    <col min="4876" max="4876" width="8.5703125" customWidth="1"/>
    <col min="4877" max="4877" width="14.7109375" bestFit="1" customWidth="1"/>
    <col min="4878" max="4878" width="13.7109375" customWidth="1"/>
    <col min="4879" max="4879" width="16.28515625" bestFit="1" customWidth="1"/>
    <col min="4880" max="4880" width="14.85546875" customWidth="1"/>
    <col min="4881" max="4881" width="12.140625" customWidth="1"/>
    <col min="4882" max="4883" width="11.42578125" bestFit="1" customWidth="1"/>
    <col min="4884" max="4885" width="9.7109375" customWidth="1"/>
    <col min="4886" max="4886" width="15.85546875" customWidth="1"/>
    <col min="4887" max="4887" width="14.7109375" customWidth="1"/>
    <col min="4888" max="4888" width="14.85546875" customWidth="1"/>
    <col min="4889" max="4889" width="22.42578125" customWidth="1"/>
    <col min="4890" max="4890" width="2.85546875" customWidth="1"/>
    <col min="4891" max="4891" width="12.140625" bestFit="1" customWidth="1"/>
    <col min="4892" max="5103" width="9.140625" customWidth="1"/>
    <col min="5104" max="5104" width="4.42578125" customWidth="1"/>
    <col min="5105" max="5105" width="21.5703125" customWidth="1"/>
    <col min="5106" max="5106" width="17.28515625" customWidth="1"/>
    <col min="5107" max="5107" width="16.42578125" customWidth="1"/>
    <col min="5108" max="5108" width="9.85546875" customWidth="1"/>
    <col min="5109" max="5109" width="9.140625" customWidth="1"/>
    <col min="5110" max="5110" width="14.28515625" customWidth="1"/>
    <col min="5111" max="5111" width="8.42578125" customWidth="1"/>
    <col min="5112" max="5112" width="6.7109375" customWidth="1"/>
    <col min="5113" max="5113" width="7.42578125" customWidth="1"/>
    <col min="5121" max="5121" width="4.42578125" customWidth="1"/>
    <col min="5122" max="5122" width="7.42578125" customWidth="1"/>
    <col min="5123" max="5123" width="6.7109375" customWidth="1"/>
    <col min="5124" max="5124" width="26.42578125" customWidth="1"/>
    <col min="5125" max="5125" width="17.5703125" customWidth="1"/>
    <col min="5126" max="5126" width="13" bestFit="1" customWidth="1"/>
    <col min="5127" max="5127" width="11.28515625" customWidth="1"/>
    <col min="5128" max="5128" width="14.28515625" customWidth="1"/>
    <col min="5129" max="5129" width="12.7109375" customWidth="1"/>
    <col min="5130" max="5131" width="0" hidden="1" customWidth="1"/>
    <col min="5132" max="5132" width="8.5703125" customWidth="1"/>
    <col min="5133" max="5133" width="14.7109375" bestFit="1" customWidth="1"/>
    <col min="5134" max="5134" width="13.7109375" customWidth="1"/>
    <col min="5135" max="5135" width="16.28515625" bestFit="1" customWidth="1"/>
    <col min="5136" max="5136" width="14.85546875" customWidth="1"/>
    <col min="5137" max="5137" width="12.140625" customWidth="1"/>
    <col min="5138" max="5139" width="11.42578125" bestFit="1" customWidth="1"/>
    <col min="5140" max="5141" width="9.7109375" customWidth="1"/>
    <col min="5142" max="5142" width="15.85546875" customWidth="1"/>
    <col min="5143" max="5143" width="14.7109375" customWidth="1"/>
    <col min="5144" max="5144" width="14.85546875" customWidth="1"/>
    <col min="5145" max="5145" width="22.42578125" customWidth="1"/>
    <col min="5146" max="5146" width="2.85546875" customWidth="1"/>
    <col min="5147" max="5147" width="12.140625" bestFit="1" customWidth="1"/>
    <col min="5148" max="5359" width="9.140625" customWidth="1"/>
    <col min="5360" max="5360" width="4.42578125" customWidth="1"/>
    <col min="5361" max="5361" width="21.5703125" customWidth="1"/>
    <col min="5362" max="5362" width="17.28515625" customWidth="1"/>
    <col min="5363" max="5363" width="16.42578125" customWidth="1"/>
    <col min="5364" max="5364" width="9.85546875" customWidth="1"/>
    <col min="5365" max="5365" width="9.140625" customWidth="1"/>
    <col min="5366" max="5366" width="14.28515625" customWidth="1"/>
    <col min="5367" max="5367" width="8.42578125" customWidth="1"/>
    <col min="5368" max="5368" width="6.7109375" customWidth="1"/>
    <col min="5369" max="5369" width="7.42578125" customWidth="1"/>
    <col min="5377" max="5377" width="4.42578125" customWidth="1"/>
    <col min="5378" max="5378" width="7.42578125" customWidth="1"/>
    <col min="5379" max="5379" width="6.7109375" customWidth="1"/>
    <col min="5380" max="5380" width="26.42578125" customWidth="1"/>
    <col min="5381" max="5381" width="17.5703125" customWidth="1"/>
    <col min="5382" max="5382" width="13" bestFit="1" customWidth="1"/>
    <col min="5383" max="5383" width="11.28515625" customWidth="1"/>
    <col min="5384" max="5384" width="14.28515625" customWidth="1"/>
    <col min="5385" max="5385" width="12.7109375" customWidth="1"/>
    <col min="5386" max="5387" width="0" hidden="1" customWidth="1"/>
    <col min="5388" max="5388" width="8.5703125" customWidth="1"/>
    <col min="5389" max="5389" width="14.7109375" bestFit="1" customWidth="1"/>
    <col min="5390" max="5390" width="13.7109375" customWidth="1"/>
    <col min="5391" max="5391" width="16.28515625" bestFit="1" customWidth="1"/>
    <col min="5392" max="5392" width="14.85546875" customWidth="1"/>
    <col min="5393" max="5393" width="12.140625" customWidth="1"/>
    <col min="5394" max="5395" width="11.42578125" bestFit="1" customWidth="1"/>
    <col min="5396" max="5397" width="9.7109375" customWidth="1"/>
    <col min="5398" max="5398" width="15.85546875" customWidth="1"/>
    <col min="5399" max="5399" width="14.7109375" customWidth="1"/>
    <col min="5400" max="5400" width="14.85546875" customWidth="1"/>
    <col min="5401" max="5401" width="22.42578125" customWidth="1"/>
    <col min="5402" max="5402" width="2.85546875" customWidth="1"/>
    <col min="5403" max="5403" width="12.140625" bestFit="1" customWidth="1"/>
    <col min="5404" max="5615" width="9.140625" customWidth="1"/>
    <col min="5616" max="5616" width="4.42578125" customWidth="1"/>
    <col min="5617" max="5617" width="21.5703125" customWidth="1"/>
    <col min="5618" max="5618" width="17.28515625" customWidth="1"/>
    <col min="5619" max="5619" width="16.42578125" customWidth="1"/>
    <col min="5620" max="5620" width="9.85546875" customWidth="1"/>
    <col min="5621" max="5621" width="9.140625" customWidth="1"/>
    <col min="5622" max="5622" width="14.28515625" customWidth="1"/>
    <col min="5623" max="5623" width="8.42578125" customWidth="1"/>
    <col min="5624" max="5624" width="6.7109375" customWidth="1"/>
    <col min="5625" max="5625" width="7.42578125" customWidth="1"/>
    <col min="5633" max="5633" width="4.42578125" customWidth="1"/>
    <col min="5634" max="5634" width="7.42578125" customWidth="1"/>
    <col min="5635" max="5635" width="6.7109375" customWidth="1"/>
    <col min="5636" max="5636" width="26.42578125" customWidth="1"/>
    <col min="5637" max="5637" width="17.5703125" customWidth="1"/>
    <col min="5638" max="5638" width="13" bestFit="1" customWidth="1"/>
    <col min="5639" max="5639" width="11.28515625" customWidth="1"/>
    <col min="5640" max="5640" width="14.28515625" customWidth="1"/>
    <col min="5641" max="5641" width="12.7109375" customWidth="1"/>
    <col min="5642" max="5643" width="0" hidden="1" customWidth="1"/>
    <col min="5644" max="5644" width="8.5703125" customWidth="1"/>
    <col min="5645" max="5645" width="14.7109375" bestFit="1" customWidth="1"/>
    <col min="5646" max="5646" width="13.7109375" customWidth="1"/>
    <col min="5647" max="5647" width="16.28515625" bestFit="1" customWidth="1"/>
    <col min="5648" max="5648" width="14.85546875" customWidth="1"/>
    <col min="5649" max="5649" width="12.140625" customWidth="1"/>
    <col min="5650" max="5651" width="11.42578125" bestFit="1" customWidth="1"/>
    <col min="5652" max="5653" width="9.7109375" customWidth="1"/>
    <col min="5654" max="5654" width="15.85546875" customWidth="1"/>
    <col min="5655" max="5655" width="14.7109375" customWidth="1"/>
    <col min="5656" max="5656" width="14.85546875" customWidth="1"/>
    <col min="5657" max="5657" width="22.42578125" customWidth="1"/>
    <col min="5658" max="5658" width="2.85546875" customWidth="1"/>
    <col min="5659" max="5659" width="12.140625" bestFit="1" customWidth="1"/>
    <col min="5660" max="5871" width="9.140625" customWidth="1"/>
    <col min="5872" max="5872" width="4.42578125" customWidth="1"/>
    <col min="5873" max="5873" width="21.5703125" customWidth="1"/>
    <col min="5874" max="5874" width="17.28515625" customWidth="1"/>
    <col min="5875" max="5875" width="16.42578125" customWidth="1"/>
    <col min="5876" max="5876" width="9.85546875" customWidth="1"/>
    <col min="5877" max="5877" width="9.140625" customWidth="1"/>
    <col min="5878" max="5878" width="14.28515625" customWidth="1"/>
    <col min="5879" max="5879" width="8.42578125" customWidth="1"/>
    <col min="5880" max="5880" width="6.7109375" customWidth="1"/>
    <col min="5881" max="5881" width="7.42578125" customWidth="1"/>
    <col min="5889" max="5889" width="4.42578125" customWidth="1"/>
    <col min="5890" max="5890" width="7.42578125" customWidth="1"/>
    <col min="5891" max="5891" width="6.7109375" customWidth="1"/>
    <col min="5892" max="5892" width="26.42578125" customWidth="1"/>
    <col min="5893" max="5893" width="17.5703125" customWidth="1"/>
    <col min="5894" max="5894" width="13" bestFit="1" customWidth="1"/>
    <col min="5895" max="5895" width="11.28515625" customWidth="1"/>
    <col min="5896" max="5896" width="14.28515625" customWidth="1"/>
    <col min="5897" max="5897" width="12.7109375" customWidth="1"/>
    <col min="5898" max="5899" width="0" hidden="1" customWidth="1"/>
    <col min="5900" max="5900" width="8.5703125" customWidth="1"/>
    <col min="5901" max="5901" width="14.7109375" bestFit="1" customWidth="1"/>
    <col min="5902" max="5902" width="13.7109375" customWidth="1"/>
    <col min="5903" max="5903" width="16.28515625" bestFit="1" customWidth="1"/>
    <col min="5904" max="5904" width="14.85546875" customWidth="1"/>
    <col min="5905" max="5905" width="12.140625" customWidth="1"/>
    <col min="5906" max="5907" width="11.42578125" bestFit="1" customWidth="1"/>
    <col min="5908" max="5909" width="9.7109375" customWidth="1"/>
    <col min="5910" max="5910" width="15.85546875" customWidth="1"/>
    <col min="5911" max="5911" width="14.7109375" customWidth="1"/>
    <col min="5912" max="5912" width="14.85546875" customWidth="1"/>
    <col min="5913" max="5913" width="22.42578125" customWidth="1"/>
    <col min="5914" max="5914" width="2.85546875" customWidth="1"/>
    <col min="5915" max="5915" width="12.140625" bestFit="1" customWidth="1"/>
    <col min="5916" max="6127" width="9.140625" customWidth="1"/>
    <col min="6128" max="6128" width="4.42578125" customWidth="1"/>
    <col min="6129" max="6129" width="21.5703125" customWidth="1"/>
    <col min="6130" max="6130" width="17.28515625" customWidth="1"/>
    <col min="6131" max="6131" width="16.42578125" customWidth="1"/>
    <col min="6132" max="6132" width="9.85546875" customWidth="1"/>
    <col min="6133" max="6133" width="9.140625" customWidth="1"/>
    <col min="6134" max="6134" width="14.28515625" customWidth="1"/>
    <col min="6135" max="6135" width="8.42578125" customWidth="1"/>
    <col min="6136" max="6136" width="6.7109375" customWidth="1"/>
    <col min="6137" max="6137" width="7.42578125" customWidth="1"/>
    <col min="6145" max="6145" width="4.42578125" customWidth="1"/>
    <col min="6146" max="6146" width="7.42578125" customWidth="1"/>
    <col min="6147" max="6147" width="6.7109375" customWidth="1"/>
    <col min="6148" max="6148" width="26.42578125" customWidth="1"/>
    <col min="6149" max="6149" width="17.5703125" customWidth="1"/>
    <col min="6150" max="6150" width="13" bestFit="1" customWidth="1"/>
    <col min="6151" max="6151" width="11.28515625" customWidth="1"/>
    <col min="6152" max="6152" width="14.28515625" customWidth="1"/>
    <col min="6153" max="6153" width="12.7109375" customWidth="1"/>
    <col min="6154" max="6155" width="0" hidden="1" customWidth="1"/>
    <col min="6156" max="6156" width="8.5703125" customWidth="1"/>
    <col min="6157" max="6157" width="14.7109375" bestFit="1" customWidth="1"/>
    <col min="6158" max="6158" width="13.7109375" customWidth="1"/>
    <col min="6159" max="6159" width="16.28515625" bestFit="1" customWidth="1"/>
    <col min="6160" max="6160" width="14.85546875" customWidth="1"/>
    <col min="6161" max="6161" width="12.140625" customWidth="1"/>
    <col min="6162" max="6163" width="11.42578125" bestFit="1" customWidth="1"/>
    <col min="6164" max="6165" width="9.7109375" customWidth="1"/>
    <col min="6166" max="6166" width="15.85546875" customWidth="1"/>
    <col min="6167" max="6167" width="14.7109375" customWidth="1"/>
    <col min="6168" max="6168" width="14.85546875" customWidth="1"/>
    <col min="6169" max="6169" width="22.42578125" customWidth="1"/>
    <col min="6170" max="6170" width="2.85546875" customWidth="1"/>
    <col min="6171" max="6171" width="12.140625" bestFit="1" customWidth="1"/>
    <col min="6172" max="6383" width="9.140625" customWidth="1"/>
    <col min="6384" max="6384" width="4.42578125" customWidth="1"/>
    <col min="6385" max="6385" width="21.5703125" customWidth="1"/>
    <col min="6386" max="6386" width="17.28515625" customWidth="1"/>
    <col min="6387" max="6387" width="16.42578125" customWidth="1"/>
    <col min="6388" max="6388" width="9.85546875" customWidth="1"/>
    <col min="6389" max="6389" width="9.140625" customWidth="1"/>
    <col min="6390" max="6390" width="14.28515625" customWidth="1"/>
    <col min="6391" max="6391" width="8.42578125" customWidth="1"/>
    <col min="6392" max="6392" width="6.7109375" customWidth="1"/>
    <col min="6393" max="6393" width="7.42578125" customWidth="1"/>
    <col min="6401" max="6401" width="4.42578125" customWidth="1"/>
    <col min="6402" max="6402" width="7.42578125" customWidth="1"/>
    <col min="6403" max="6403" width="6.7109375" customWidth="1"/>
    <col min="6404" max="6404" width="26.42578125" customWidth="1"/>
    <col min="6405" max="6405" width="17.5703125" customWidth="1"/>
    <col min="6406" max="6406" width="13" bestFit="1" customWidth="1"/>
    <col min="6407" max="6407" width="11.28515625" customWidth="1"/>
    <col min="6408" max="6408" width="14.28515625" customWidth="1"/>
    <col min="6409" max="6409" width="12.7109375" customWidth="1"/>
    <col min="6410" max="6411" width="0" hidden="1" customWidth="1"/>
    <col min="6412" max="6412" width="8.5703125" customWidth="1"/>
    <col min="6413" max="6413" width="14.7109375" bestFit="1" customWidth="1"/>
    <col min="6414" max="6414" width="13.7109375" customWidth="1"/>
    <col min="6415" max="6415" width="16.28515625" bestFit="1" customWidth="1"/>
    <col min="6416" max="6416" width="14.85546875" customWidth="1"/>
    <col min="6417" max="6417" width="12.140625" customWidth="1"/>
    <col min="6418" max="6419" width="11.42578125" bestFit="1" customWidth="1"/>
    <col min="6420" max="6421" width="9.7109375" customWidth="1"/>
    <col min="6422" max="6422" width="15.85546875" customWidth="1"/>
    <col min="6423" max="6423" width="14.7109375" customWidth="1"/>
    <col min="6424" max="6424" width="14.85546875" customWidth="1"/>
    <col min="6425" max="6425" width="22.42578125" customWidth="1"/>
    <col min="6426" max="6426" width="2.85546875" customWidth="1"/>
    <col min="6427" max="6427" width="12.140625" bestFit="1" customWidth="1"/>
    <col min="6428" max="6639" width="9.140625" customWidth="1"/>
    <col min="6640" max="6640" width="4.42578125" customWidth="1"/>
    <col min="6641" max="6641" width="21.5703125" customWidth="1"/>
    <col min="6642" max="6642" width="17.28515625" customWidth="1"/>
    <col min="6643" max="6643" width="16.42578125" customWidth="1"/>
    <col min="6644" max="6644" width="9.85546875" customWidth="1"/>
    <col min="6645" max="6645" width="9.140625" customWidth="1"/>
    <col min="6646" max="6646" width="14.28515625" customWidth="1"/>
    <col min="6647" max="6647" width="8.42578125" customWidth="1"/>
    <col min="6648" max="6648" width="6.7109375" customWidth="1"/>
    <col min="6649" max="6649" width="7.42578125" customWidth="1"/>
    <col min="6657" max="6657" width="4.42578125" customWidth="1"/>
    <col min="6658" max="6658" width="7.42578125" customWidth="1"/>
    <col min="6659" max="6659" width="6.7109375" customWidth="1"/>
    <col min="6660" max="6660" width="26.42578125" customWidth="1"/>
    <col min="6661" max="6661" width="17.5703125" customWidth="1"/>
    <col min="6662" max="6662" width="13" bestFit="1" customWidth="1"/>
    <col min="6663" max="6663" width="11.28515625" customWidth="1"/>
    <col min="6664" max="6664" width="14.28515625" customWidth="1"/>
    <col min="6665" max="6665" width="12.7109375" customWidth="1"/>
    <col min="6666" max="6667" width="0" hidden="1" customWidth="1"/>
    <col min="6668" max="6668" width="8.5703125" customWidth="1"/>
    <col min="6669" max="6669" width="14.7109375" bestFit="1" customWidth="1"/>
    <col min="6670" max="6670" width="13.7109375" customWidth="1"/>
    <col min="6671" max="6671" width="16.28515625" bestFit="1" customWidth="1"/>
    <col min="6672" max="6672" width="14.85546875" customWidth="1"/>
    <col min="6673" max="6673" width="12.140625" customWidth="1"/>
    <col min="6674" max="6675" width="11.42578125" bestFit="1" customWidth="1"/>
    <col min="6676" max="6677" width="9.7109375" customWidth="1"/>
    <col min="6678" max="6678" width="15.85546875" customWidth="1"/>
    <col min="6679" max="6679" width="14.7109375" customWidth="1"/>
    <col min="6680" max="6680" width="14.85546875" customWidth="1"/>
    <col min="6681" max="6681" width="22.42578125" customWidth="1"/>
    <col min="6682" max="6682" width="2.85546875" customWidth="1"/>
    <col min="6683" max="6683" width="12.140625" bestFit="1" customWidth="1"/>
    <col min="6684" max="6895" width="9.140625" customWidth="1"/>
    <col min="6896" max="6896" width="4.42578125" customWidth="1"/>
    <col min="6897" max="6897" width="21.5703125" customWidth="1"/>
    <col min="6898" max="6898" width="17.28515625" customWidth="1"/>
    <col min="6899" max="6899" width="16.42578125" customWidth="1"/>
    <col min="6900" max="6900" width="9.85546875" customWidth="1"/>
    <col min="6901" max="6901" width="9.140625" customWidth="1"/>
    <col min="6902" max="6902" width="14.28515625" customWidth="1"/>
    <col min="6903" max="6903" width="8.42578125" customWidth="1"/>
    <col min="6904" max="6904" width="6.7109375" customWidth="1"/>
    <col min="6905" max="6905" width="7.42578125" customWidth="1"/>
    <col min="6913" max="6913" width="4.42578125" customWidth="1"/>
    <col min="6914" max="6914" width="7.42578125" customWidth="1"/>
    <col min="6915" max="6915" width="6.7109375" customWidth="1"/>
    <col min="6916" max="6916" width="26.42578125" customWidth="1"/>
    <col min="6917" max="6917" width="17.5703125" customWidth="1"/>
    <col min="6918" max="6918" width="13" bestFit="1" customWidth="1"/>
    <col min="6919" max="6919" width="11.28515625" customWidth="1"/>
    <col min="6920" max="6920" width="14.28515625" customWidth="1"/>
    <col min="6921" max="6921" width="12.7109375" customWidth="1"/>
    <col min="6922" max="6923" width="0" hidden="1" customWidth="1"/>
    <col min="6924" max="6924" width="8.5703125" customWidth="1"/>
    <col min="6925" max="6925" width="14.7109375" bestFit="1" customWidth="1"/>
    <col min="6926" max="6926" width="13.7109375" customWidth="1"/>
    <col min="6927" max="6927" width="16.28515625" bestFit="1" customWidth="1"/>
    <col min="6928" max="6928" width="14.85546875" customWidth="1"/>
    <col min="6929" max="6929" width="12.140625" customWidth="1"/>
    <col min="6930" max="6931" width="11.42578125" bestFit="1" customWidth="1"/>
    <col min="6932" max="6933" width="9.7109375" customWidth="1"/>
    <col min="6934" max="6934" width="15.85546875" customWidth="1"/>
    <col min="6935" max="6935" width="14.7109375" customWidth="1"/>
    <col min="6936" max="6936" width="14.85546875" customWidth="1"/>
    <col min="6937" max="6937" width="22.42578125" customWidth="1"/>
    <col min="6938" max="6938" width="2.85546875" customWidth="1"/>
    <col min="6939" max="6939" width="12.140625" bestFit="1" customWidth="1"/>
    <col min="6940" max="7151" width="9.140625" customWidth="1"/>
    <col min="7152" max="7152" width="4.42578125" customWidth="1"/>
    <col min="7153" max="7153" width="21.5703125" customWidth="1"/>
    <col min="7154" max="7154" width="17.28515625" customWidth="1"/>
    <col min="7155" max="7155" width="16.42578125" customWidth="1"/>
    <col min="7156" max="7156" width="9.85546875" customWidth="1"/>
    <col min="7157" max="7157" width="9.140625" customWidth="1"/>
    <col min="7158" max="7158" width="14.28515625" customWidth="1"/>
    <col min="7159" max="7159" width="8.42578125" customWidth="1"/>
    <col min="7160" max="7160" width="6.7109375" customWidth="1"/>
    <col min="7161" max="7161" width="7.42578125" customWidth="1"/>
    <col min="7169" max="7169" width="4.42578125" customWidth="1"/>
    <col min="7170" max="7170" width="7.42578125" customWidth="1"/>
    <col min="7171" max="7171" width="6.7109375" customWidth="1"/>
    <col min="7172" max="7172" width="26.42578125" customWidth="1"/>
    <col min="7173" max="7173" width="17.5703125" customWidth="1"/>
    <col min="7174" max="7174" width="13" bestFit="1" customWidth="1"/>
    <col min="7175" max="7175" width="11.28515625" customWidth="1"/>
    <col min="7176" max="7176" width="14.28515625" customWidth="1"/>
    <col min="7177" max="7177" width="12.7109375" customWidth="1"/>
    <col min="7178" max="7179" width="0" hidden="1" customWidth="1"/>
    <col min="7180" max="7180" width="8.5703125" customWidth="1"/>
    <col min="7181" max="7181" width="14.7109375" bestFit="1" customWidth="1"/>
    <col min="7182" max="7182" width="13.7109375" customWidth="1"/>
    <col min="7183" max="7183" width="16.28515625" bestFit="1" customWidth="1"/>
    <col min="7184" max="7184" width="14.85546875" customWidth="1"/>
    <col min="7185" max="7185" width="12.140625" customWidth="1"/>
    <col min="7186" max="7187" width="11.42578125" bestFit="1" customWidth="1"/>
    <col min="7188" max="7189" width="9.7109375" customWidth="1"/>
    <col min="7190" max="7190" width="15.85546875" customWidth="1"/>
    <col min="7191" max="7191" width="14.7109375" customWidth="1"/>
    <col min="7192" max="7192" width="14.85546875" customWidth="1"/>
    <col min="7193" max="7193" width="22.42578125" customWidth="1"/>
    <col min="7194" max="7194" width="2.85546875" customWidth="1"/>
    <col min="7195" max="7195" width="12.140625" bestFit="1" customWidth="1"/>
    <col min="7196" max="7407" width="9.140625" customWidth="1"/>
    <col min="7408" max="7408" width="4.42578125" customWidth="1"/>
    <col min="7409" max="7409" width="21.5703125" customWidth="1"/>
    <col min="7410" max="7410" width="17.28515625" customWidth="1"/>
    <col min="7411" max="7411" width="16.42578125" customWidth="1"/>
    <col min="7412" max="7412" width="9.85546875" customWidth="1"/>
    <col min="7413" max="7413" width="9.140625" customWidth="1"/>
    <col min="7414" max="7414" width="14.28515625" customWidth="1"/>
    <col min="7415" max="7415" width="8.42578125" customWidth="1"/>
    <col min="7416" max="7416" width="6.7109375" customWidth="1"/>
    <col min="7417" max="7417" width="7.42578125" customWidth="1"/>
    <col min="7425" max="7425" width="4.42578125" customWidth="1"/>
    <col min="7426" max="7426" width="7.42578125" customWidth="1"/>
    <col min="7427" max="7427" width="6.7109375" customWidth="1"/>
    <col min="7428" max="7428" width="26.42578125" customWidth="1"/>
    <col min="7429" max="7429" width="17.5703125" customWidth="1"/>
    <col min="7430" max="7430" width="13" bestFit="1" customWidth="1"/>
    <col min="7431" max="7431" width="11.28515625" customWidth="1"/>
    <col min="7432" max="7432" width="14.28515625" customWidth="1"/>
    <col min="7433" max="7433" width="12.7109375" customWidth="1"/>
    <col min="7434" max="7435" width="0" hidden="1" customWidth="1"/>
    <col min="7436" max="7436" width="8.5703125" customWidth="1"/>
    <col min="7437" max="7437" width="14.7109375" bestFit="1" customWidth="1"/>
    <col min="7438" max="7438" width="13.7109375" customWidth="1"/>
    <col min="7439" max="7439" width="16.28515625" bestFit="1" customWidth="1"/>
    <col min="7440" max="7440" width="14.85546875" customWidth="1"/>
    <col min="7441" max="7441" width="12.140625" customWidth="1"/>
    <col min="7442" max="7443" width="11.42578125" bestFit="1" customWidth="1"/>
    <col min="7444" max="7445" width="9.7109375" customWidth="1"/>
    <col min="7446" max="7446" width="15.85546875" customWidth="1"/>
    <col min="7447" max="7447" width="14.7109375" customWidth="1"/>
    <col min="7448" max="7448" width="14.85546875" customWidth="1"/>
    <col min="7449" max="7449" width="22.42578125" customWidth="1"/>
    <col min="7450" max="7450" width="2.85546875" customWidth="1"/>
    <col min="7451" max="7451" width="12.140625" bestFit="1" customWidth="1"/>
    <col min="7452" max="7663" width="9.140625" customWidth="1"/>
    <col min="7664" max="7664" width="4.42578125" customWidth="1"/>
    <col min="7665" max="7665" width="21.5703125" customWidth="1"/>
    <col min="7666" max="7666" width="17.28515625" customWidth="1"/>
    <col min="7667" max="7667" width="16.42578125" customWidth="1"/>
    <col min="7668" max="7668" width="9.85546875" customWidth="1"/>
    <col min="7669" max="7669" width="9.140625" customWidth="1"/>
    <col min="7670" max="7670" width="14.28515625" customWidth="1"/>
    <col min="7671" max="7671" width="8.42578125" customWidth="1"/>
    <col min="7672" max="7672" width="6.7109375" customWidth="1"/>
    <col min="7673" max="7673" width="7.42578125" customWidth="1"/>
    <col min="7681" max="7681" width="4.42578125" customWidth="1"/>
    <col min="7682" max="7682" width="7.42578125" customWidth="1"/>
    <col min="7683" max="7683" width="6.7109375" customWidth="1"/>
    <col min="7684" max="7684" width="26.42578125" customWidth="1"/>
    <col min="7685" max="7685" width="17.5703125" customWidth="1"/>
    <col min="7686" max="7686" width="13" bestFit="1" customWidth="1"/>
    <col min="7687" max="7687" width="11.28515625" customWidth="1"/>
    <col min="7688" max="7688" width="14.28515625" customWidth="1"/>
    <col min="7689" max="7689" width="12.7109375" customWidth="1"/>
    <col min="7690" max="7691" width="0" hidden="1" customWidth="1"/>
    <col min="7692" max="7692" width="8.5703125" customWidth="1"/>
    <col min="7693" max="7693" width="14.7109375" bestFit="1" customWidth="1"/>
    <col min="7694" max="7694" width="13.7109375" customWidth="1"/>
    <col min="7695" max="7695" width="16.28515625" bestFit="1" customWidth="1"/>
    <col min="7696" max="7696" width="14.85546875" customWidth="1"/>
    <col min="7697" max="7697" width="12.140625" customWidth="1"/>
    <col min="7698" max="7699" width="11.42578125" bestFit="1" customWidth="1"/>
    <col min="7700" max="7701" width="9.7109375" customWidth="1"/>
    <col min="7702" max="7702" width="15.85546875" customWidth="1"/>
    <col min="7703" max="7703" width="14.7109375" customWidth="1"/>
    <col min="7704" max="7704" width="14.85546875" customWidth="1"/>
    <col min="7705" max="7705" width="22.42578125" customWidth="1"/>
    <col min="7706" max="7706" width="2.85546875" customWidth="1"/>
    <col min="7707" max="7707" width="12.140625" bestFit="1" customWidth="1"/>
    <col min="7708" max="7919" width="9.140625" customWidth="1"/>
    <col min="7920" max="7920" width="4.42578125" customWidth="1"/>
    <col min="7921" max="7921" width="21.5703125" customWidth="1"/>
    <col min="7922" max="7922" width="17.28515625" customWidth="1"/>
    <col min="7923" max="7923" width="16.42578125" customWidth="1"/>
    <col min="7924" max="7924" width="9.85546875" customWidth="1"/>
    <col min="7925" max="7925" width="9.140625" customWidth="1"/>
    <col min="7926" max="7926" width="14.28515625" customWidth="1"/>
    <col min="7927" max="7927" width="8.42578125" customWidth="1"/>
    <col min="7928" max="7928" width="6.7109375" customWidth="1"/>
    <col min="7929" max="7929" width="7.42578125" customWidth="1"/>
    <col min="7937" max="7937" width="4.42578125" customWidth="1"/>
    <col min="7938" max="7938" width="7.42578125" customWidth="1"/>
    <col min="7939" max="7939" width="6.7109375" customWidth="1"/>
    <col min="7940" max="7940" width="26.42578125" customWidth="1"/>
    <col min="7941" max="7941" width="17.5703125" customWidth="1"/>
    <col min="7942" max="7942" width="13" bestFit="1" customWidth="1"/>
    <col min="7943" max="7943" width="11.28515625" customWidth="1"/>
    <col min="7944" max="7944" width="14.28515625" customWidth="1"/>
    <col min="7945" max="7945" width="12.7109375" customWidth="1"/>
    <col min="7946" max="7947" width="0" hidden="1" customWidth="1"/>
    <col min="7948" max="7948" width="8.5703125" customWidth="1"/>
    <col min="7949" max="7949" width="14.7109375" bestFit="1" customWidth="1"/>
    <col min="7950" max="7950" width="13.7109375" customWidth="1"/>
    <col min="7951" max="7951" width="16.28515625" bestFit="1" customWidth="1"/>
    <col min="7952" max="7952" width="14.85546875" customWidth="1"/>
    <col min="7953" max="7953" width="12.140625" customWidth="1"/>
    <col min="7954" max="7955" width="11.42578125" bestFit="1" customWidth="1"/>
    <col min="7956" max="7957" width="9.7109375" customWidth="1"/>
    <col min="7958" max="7958" width="15.85546875" customWidth="1"/>
    <col min="7959" max="7959" width="14.7109375" customWidth="1"/>
    <col min="7960" max="7960" width="14.85546875" customWidth="1"/>
    <col min="7961" max="7961" width="22.42578125" customWidth="1"/>
    <col min="7962" max="7962" width="2.85546875" customWidth="1"/>
    <col min="7963" max="7963" width="12.140625" bestFit="1" customWidth="1"/>
    <col min="7964" max="8175" width="9.140625" customWidth="1"/>
    <col min="8176" max="8176" width="4.42578125" customWidth="1"/>
    <col min="8177" max="8177" width="21.5703125" customWidth="1"/>
    <col min="8178" max="8178" width="17.28515625" customWidth="1"/>
    <col min="8179" max="8179" width="16.42578125" customWidth="1"/>
    <col min="8180" max="8180" width="9.85546875" customWidth="1"/>
    <col min="8181" max="8181" width="9.140625" customWidth="1"/>
    <col min="8182" max="8182" width="14.28515625" customWidth="1"/>
    <col min="8183" max="8183" width="8.42578125" customWidth="1"/>
    <col min="8184" max="8184" width="6.7109375" customWidth="1"/>
    <col min="8185" max="8185" width="7.42578125" customWidth="1"/>
    <col min="8193" max="8193" width="4.42578125" customWidth="1"/>
    <col min="8194" max="8194" width="7.42578125" customWidth="1"/>
    <col min="8195" max="8195" width="6.7109375" customWidth="1"/>
    <col min="8196" max="8196" width="26.42578125" customWidth="1"/>
    <col min="8197" max="8197" width="17.5703125" customWidth="1"/>
    <col min="8198" max="8198" width="13" bestFit="1" customWidth="1"/>
    <col min="8199" max="8199" width="11.28515625" customWidth="1"/>
    <col min="8200" max="8200" width="14.28515625" customWidth="1"/>
    <col min="8201" max="8201" width="12.7109375" customWidth="1"/>
    <col min="8202" max="8203" width="0" hidden="1" customWidth="1"/>
    <col min="8204" max="8204" width="8.5703125" customWidth="1"/>
    <col min="8205" max="8205" width="14.7109375" bestFit="1" customWidth="1"/>
    <col min="8206" max="8206" width="13.7109375" customWidth="1"/>
    <col min="8207" max="8207" width="16.28515625" bestFit="1" customWidth="1"/>
    <col min="8208" max="8208" width="14.85546875" customWidth="1"/>
    <col min="8209" max="8209" width="12.140625" customWidth="1"/>
    <col min="8210" max="8211" width="11.42578125" bestFit="1" customWidth="1"/>
    <col min="8212" max="8213" width="9.7109375" customWidth="1"/>
    <col min="8214" max="8214" width="15.85546875" customWidth="1"/>
    <col min="8215" max="8215" width="14.7109375" customWidth="1"/>
    <col min="8216" max="8216" width="14.85546875" customWidth="1"/>
    <col min="8217" max="8217" width="22.42578125" customWidth="1"/>
    <col min="8218" max="8218" width="2.85546875" customWidth="1"/>
    <col min="8219" max="8219" width="12.140625" bestFit="1" customWidth="1"/>
    <col min="8220" max="8431" width="9.140625" customWidth="1"/>
    <col min="8432" max="8432" width="4.42578125" customWidth="1"/>
    <col min="8433" max="8433" width="21.5703125" customWidth="1"/>
    <col min="8434" max="8434" width="17.28515625" customWidth="1"/>
    <col min="8435" max="8435" width="16.42578125" customWidth="1"/>
    <col min="8436" max="8436" width="9.85546875" customWidth="1"/>
    <col min="8437" max="8437" width="9.140625" customWidth="1"/>
    <col min="8438" max="8438" width="14.28515625" customWidth="1"/>
    <col min="8439" max="8439" width="8.42578125" customWidth="1"/>
    <col min="8440" max="8440" width="6.7109375" customWidth="1"/>
    <col min="8441" max="8441" width="7.42578125" customWidth="1"/>
    <col min="8449" max="8449" width="4.42578125" customWidth="1"/>
    <col min="8450" max="8450" width="7.42578125" customWidth="1"/>
    <col min="8451" max="8451" width="6.7109375" customWidth="1"/>
    <col min="8452" max="8452" width="26.42578125" customWidth="1"/>
    <col min="8453" max="8453" width="17.5703125" customWidth="1"/>
    <col min="8454" max="8454" width="13" bestFit="1" customWidth="1"/>
    <col min="8455" max="8455" width="11.28515625" customWidth="1"/>
    <col min="8456" max="8456" width="14.28515625" customWidth="1"/>
    <col min="8457" max="8457" width="12.7109375" customWidth="1"/>
    <col min="8458" max="8459" width="0" hidden="1" customWidth="1"/>
    <col min="8460" max="8460" width="8.5703125" customWidth="1"/>
    <col min="8461" max="8461" width="14.7109375" bestFit="1" customWidth="1"/>
    <col min="8462" max="8462" width="13.7109375" customWidth="1"/>
    <col min="8463" max="8463" width="16.28515625" bestFit="1" customWidth="1"/>
    <col min="8464" max="8464" width="14.85546875" customWidth="1"/>
    <col min="8465" max="8465" width="12.140625" customWidth="1"/>
    <col min="8466" max="8467" width="11.42578125" bestFit="1" customWidth="1"/>
    <col min="8468" max="8469" width="9.7109375" customWidth="1"/>
    <col min="8470" max="8470" width="15.85546875" customWidth="1"/>
    <col min="8471" max="8471" width="14.7109375" customWidth="1"/>
    <col min="8472" max="8472" width="14.85546875" customWidth="1"/>
    <col min="8473" max="8473" width="22.42578125" customWidth="1"/>
    <col min="8474" max="8474" width="2.85546875" customWidth="1"/>
    <col min="8475" max="8475" width="12.140625" bestFit="1" customWidth="1"/>
    <col min="8476" max="8687" width="9.140625" customWidth="1"/>
    <col min="8688" max="8688" width="4.42578125" customWidth="1"/>
    <col min="8689" max="8689" width="21.5703125" customWidth="1"/>
    <col min="8690" max="8690" width="17.28515625" customWidth="1"/>
    <col min="8691" max="8691" width="16.42578125" customWidth="1"/>
    <col min="8692" max="8692" width="9.85546875" customWidth="1"/>
    <col min="8693" max="8693" width="9.140625" customWidth="1"/>
    <col min="8694" max="8694" width="14.28515625" customWidth="1"/>
    <col min="8695" max="8695" width="8.42578125" customWidth="1"/>
    <col min="8696" max="8696" width="6.7109375" customWidth="1"/>
    <col min="8697" max="8697" width="7.42578125" customWidth="1"/>
    <col min="8705" max="8705" width="4.42578125" customWidth="1"/>
    <col min="8706" max="8706" width="7.42578125" customWidth="1"/>
    <col min="8707" max="8707" width="6.7109375" customWidth="1"/>
    <col min="8708" max="8708" width="26.42578125" customWidth="1"/>
    <col min="8709" max="8709" width="17.5703125" customWidth="1"/>
    <col min="8710" max="8710" width="13" bestFit="1" customWidth="1"/>
    <col min="8711" max="8711" width="11.28515625" customWidth="1"/>
    <col min="8712" max="8712" width="14.28515625" customWidth="1"/>
    <col min="8713" max="8713" width="12.7109375" customWidth="1"/>
    <col min="8714" max="8715" width="0" hidden="1" customWidth="1"/>
    <col min="8716" max="8716" width="8.5703125" customWidth="1"/>
    <col min="8717" max="8717" width="14.7109375" bestFit="1" customWidth="1"/>
    <col min="8718" max="8718" width="13.7109375" customWidth="1"/>
    <col min="8719" max="8719" width="16.28515625" bestFit="1" customWidth="1"/>
    <col min="8720" max="8720" width="14.85546875" customWidth="1"/>
    <col min="8721" max="8721" width="12.140625" customWidth="1"/>
    <col min="8722" max="8723" width="11.42578125" bestFit="1" customWidth="1"/>
    <col min="8724" max="8725" width="9.7109375" customWidth="1"/>
    <col min="8726" max="8726" width="15.85546875" customWidth="1"/>
    <col min="8727" max="8727" width="14.7109375" customWidth="1"/>
    <col min="8728" max="8728" width="14.85546875" customWidth="1"/>
    <col min="8729" max="8729" width="22.42578125" customWidth="1"/>
    <col min="8730" max="8730" width="2.85546875" customWidth="1"/>
    <col min="8731" max="8731" width="12.140625" bestFit="1" customWidth="1"/>
    <col min="8732" max="8943" width="9.140625" customWidth="1"/>
    <col min="8944" max="8944" width="4.42578125" customWidth="1"/>
    <col min="8945" max="8945" width="21.5703125" customWidth="1"/>
    <col min="8946" max="8946" width="17.28515625" customWidth="1"/>
    <col min="8947" max="8947" width="16.42578125" customWidth="1"/>
    <col min="8948" max="8948" width="9.85546875" customWidth="1"/>
    <col min="8949" max="8949" width="9.140625" customWidth="1"/>
    <col min="8950" max="8950" width="14.28515625" customWidth="1"/>
    <col min="8951" max="8951" width="8.42578125" customWidth="1"/>
    <col min="8952" max="8952" width="6.7109375" customWidth="1"/>
    <col min="8953" max="8953" width="7.42578125" customWidth="1"/>
    <col min="8961" max="8961" width="4.42578125" customWidth="1"/>
    <col min="8962" max="8962" width="7.42578125" customWidth="1"/>
    <col min="8963" max="8963" width="6.7109375" customWidth="1"/>
    <col min="8964" max="8964" width="26.42578125" customWidth="1"/>
    <col min="8965" max="8965" width="17.5703125" customWidth="1"/>
    <col min="8966" max="8966" width="13" bestFit="1" customWidth="1"/>
    <col min="8967" max="8967" width="11.28515625" customWidth="1"/>
    <col min="8968" max="8968" width="14.28515625" customWidth="1"/>
    <col min="8969" max="8969" width="12.7109375" customWidth="1"/>
    <col min="8970" max="8971" width="0" hidden="1" customWidth="1"/>
    <col min="8972" max="8972" width="8.5703125" customWidth="1"/>
    <col min="8973" max="8973" width="14.7109375" bestFit="1" customWidth="1"/>
    <col min="8974" max="8974" width="13.7109375" customWidth="1"/>
    <col min="8975" max="8975" width="16.28515625" bestFit="1" customWidth="1"/>
    <col min="8976" max="8976" width="14.85546875" customWidth="1"/>
    <col min="8977" max="8977" width="12.140625" customWidth="1"/>
    <col min="8978" max="8979" width="11.42578125" bestFit="1" customWidth="1"/>
    <col min="8980" max="8981" width="9.7109375" customWidth="1"/>
    <col min="8982" max="8982" width="15.85546875" customWidth="1"/>
    <col min="8983" max="8983" width="14.7109375" customWidth="1"/>
    <col min="8984" max="8984" width="14.85546875" customWidth="1"/>
    <col min="8985" max="8985" width="22.42578125" customWidth="1"/>
    <col min="8986" max="8986" width="2.85546875" customWidth="1"/>
    <col min="8987" max="8987" width="12.140625" bestFit="1" customWidth="1"/>
    <col min="8988" max="9199" width="9.140625" customWidth="1"/>
    <col min="9200" max="9200" width="4.42578125" customWidth="1"/>
    <col min="9201" max="9201" width="21.5703125" customWidth="1"/>
    <col min="9202" max="9202" width="17.28515625" customWidth="1"/>
    <col min="9203" max="9203" width="16.42578125" customWidth="1"/>
    <col min="9204" max="9204" width="9.85546875" customWidth="1"/>
    <col min="9205" max="9205" width="9.140625" customWidth="1"/>
    <col min="9206" max="9206" width="14.28515625" customWidth="1"/>
    <col min="9207" max="9207" width="8.42578125" customWidth="1"/>
    <col min="9208" max="9208" width="6.7109375" customWidth="1"/>
    <col min="9209" max="9209" width="7.42578125" customWidth="1"/>
    <col min="9217" max="9217" width="4.42578125" customWidth="1"/>
    <col min="9218" max="9218" width="7.42578125" customWidth="1"/>
    <col min="9219" max="9219" width="6.7109375" customWidth="1"/>
    <col min="9220" max="9220" width="26.42578125" customWidth="1"/>
    <col min="9221" max="9221" width="17.5703125" customWidth="1"/>
    <col min="9222" max="9222" width="13" bestFit="1" customWidth="1"/>
    <col min="9223" max="9223" width="11.28515625" customWidth="1"/>
    <col min="9224" max="9224" width="14.28515625" customWidth="1"/>
    <col min="9225" max="9225" width="12.7109375" customWidth="1"/>
    <col min="9226" max="9227" width="0" hidden="1" customWidth="1"/>
    <col min="9228" max="9228" width="8.5703125" customWidth="1"/>
    <col min="9229" max="9229" width="14.7109375" bestFit="1" customWidth="1"/>
    <col min="9230" max="9230" width="13.7109375" customWidth="1"/>
    <col min="9231" max="9231" width="16.28515625" bestFit="1" customWidth="1"/>
    <col min="9232" max="9232" width="14.85546875" customWidth="1"/>
    <col min="9233" max="9233" width="12.140625" customWidth="1"/>
    <col min="9234" max="9235" width="11.42578125" bestFit="1" customWidth="1"/>
    <col min="9236" max="9237" width="9.7109375" customWidth="1"/>
    <col min="9238" max="9238" width="15.85546875" customWidth="1"/>
    <col min="9239" max="9239" width="14.7109375" customWidth="1"/>
    <col min="9240" max="9240" width="14.85546875" customWidth="1"/>
    <col min="9241" max="9241" width="22.42578125" customWidth="1"/>
    <col min="9242" max="9242" width="2.85546875" customWidth="1"/>
    <col min="9243" max="9243" width="12.140625" bestFit="1" customWidth="1"/>
    <col min="9244" max="9455" width="9.140625" customWidth="1"/>
    <col min="9456" max="9456" width="4.42578125" customWidth="1"/>
    <col min="9457" max="9457" width="21.5703125" customWidth="1"/>
    <col min="9458" max="9458" width="17.28515625" customWidth="1"/>
    <col min="9459" max="9459" width="16.42578125" customWidth="1"/>
    <col min="9460" max="9460" width="9.85546875" customWidth="1"/>
    <col min="9461" max="9461" width="9.140625" customWidth="1"/>
    <col min="9462" max="9462" width="14.28515625" customWidth="1"/>
    <col min="9463" max="9463" width="8.42578125" customWidth="1"/>
    <col min="9464" max="9464" width="6.7109375" customWidth="1"/>
    <col min="9465" max="9465" width="7.42578125" customWidth="1"/>
    <col min="9473" max="9473" width="4.42578125" customWidth="1"/>
    <col min="9474" max="9474" width="7.42578125" customWidth="1"/>
    <col min="9475" max="9475" width="6.7109375" customWidth="1"/>
    <col min="9476" max="9476" width="26.42578125" customWidth="1"/>
    <col min="9477" max="9477" width="17.5703125" customWidth="1"/>
    <col min="9478" max="9478" width="13" bestFit="1" customWidth="1"/>
    <col min="9479" max="9479" width="11.28515625" customWidth="1"/>
    <col min="9480" max="9480" width="14.28515625" customWidth="1"/>
    <col min="9481" max="9481" width="12.7109375" customWidth="1"/>
    <col min="9482" max="9483" width="0" hidden="1" customWidth="1"/>
    <col min="9484" max="9484" width="8.5703125" customWidth="1"/>
    <col min="9485" max="9485" width="14.7109375" bestFit="1" customWidth="1"/>
    <col min="9486" max="9486" width="13.7109375" customWidth="1"/>
    <col min="9487" max="9487" width="16.28515625" bestFit="1" customWidth="1"/>
    <col min="9488" max="9488" width="14.85546875" customWidth="1"/>
    <col min="9489" max="9489" width="12.140625" customWidth="1"/>
    <col min="9490" max="9491" width="11.42578125" bestFit="1" customWidth="1"/>
    <col min="9492" max="9493" width="9.7109375" customWidth="1"/>
    <col min="9494" max="9494" width="15.85546875" customWidth="1"/>
    <col min="9495" max="9495" width="14.7109375" customWidth="1"/>
    <col min="9496" max="9496" width="14.85546875" customWidth="1"/>
    <col min="9497" max="9497" width="22.42578125" customWidth="1"/>
    <col min="9498" max="9498" width="2.85546875" customWidth="1"/>
    <col min="9499" max="9499" width="12.140625" bestFit="1" customWidth="1"/>
    <col min="9500" max="9711" width="9.140625" customWidth="1"/>
    <col min="9712" max="9712" width="4.42578125" customWidth="1"/>
    <col min="9713" max="9713" width="21.5703125" customWidth="1"/>
    <col min="9714" max="9714" width="17.28515625" customWidth="1"/>
    <col min="9715" max="9715" width="16.42578125" customWidth="1"/>
    <col min="9716" max="9716" width="9.85546875" customWidth="1"/>
    <col min="9717" max="9717" width="9.140625" customWidth="1"/>
    <col min="9718" max="9718" width="14.28515625" customWidth="1"/>
    <col min="9719" max="9719" width="8.42578125" customWidth="1"/>
    <col min="9720" max="9720" width="6.7109375" customWidth="1"/>
    <col min="9721" max="9721" width="7.42578125" customWidth="1"/>
    <col min="9729" max="9729" width="4.42578125" customWidth="1"/>
    <col min="9730" max="9730" width="7.42578125" customWidth="1"/>
    <col min="9731" max="9731" width="6.7109375" customWidth="1"/>
    <col min="9732" max="9732" width="26.42578125" customWidth="1"/>
    <col min="9733" max="9733" width="17.5703125" customWidth="1"/>
    <col min="9734" max="9734" width="13" bestFit="1" customWidth="1"/>
    <col min="9735" max="9735" width="11.28515625" customWidth="1"/>
    <col min="9736" max="9736" width="14.28515625" customWidth="1"/>
    <col min="9737" max="9737" width="12.7109375" customWidth="1"/>
    <col min="9738" max="9739" width="0" hidden="1" customWidth="1"/>
    <col min="9740" max="9740" width="8.5703125" customWidth="1"/>
    <col min="9741" max="9741" width="14.7109375" bestFit="1" customWidth="1"/>
    <col min="9742" max="9742" width="13.7109375" customWidth="1"/>
    <col min="9743" max="9743" width="16.28515625" bestFit="1" customWidth="1"/>
    <col min="9744" max="9744" width="14.85546875" customWidth="1"/>
    <col min="9745" max="9745" width="12.140625" customWidth="1"/>
    <col min="9746" max="9747" width="11.42578125" bestFit="1" customWidth="1"/>
    <col min="9748" max="9749" width="9.7109375" customWidth="1"/>
    <col min="9750" max="9750" width="15.85546875" customWidth="1"/>
    <col min="9751" max="9751" width="14.7109375" customWidth="1"/>
    <col min="9752" max="9752" width="14.85546875" customWidth="1"/>
    <col min="9753" max="9753" width="22.42578125" customWidth="1"/>
    <col min="9754" max="9754" width="2.85546875" customWidth="1"/>
    <col min="9755" max="9755" width="12.140625" bestFit="1" customWidth="1"/>
    <col min="9756" max="9967" width="9.140625" customWidth="1"/>
    <col min="9968" max="9968" width="4.42578125" customWidth="1"/>
    <col min="9969" max="9969" width="21.5703125" customWidth="1"/>
    <col min="9970" max="9970" width="17.28515625" customWidth="1"/>
    <col min="9971" max="9971" width="16.42578125" customWidth="1"/>
    <col min="9972" max="9972" width="9.85546875" customWidth="1"/>
    <col min="9973" max="9973" width="9.140625" customWidth="1"/>
    <col min="9974" max="9974" width="14.28515625" customWidth="1"/>
    <col min="9975" max="9975" width="8.42578125" customWidth="1"/>
    <col min="9976" max="9976" width="6.7109375" customWidth="1"/>
    <col min="9977" max="9977" width="7.42578125" customWidth="1"/>
    <col min="9985" max="9985" width="4.42578125" customWidth="1"/>
    <col min="9986" max="9986" width="7.42578125" customWidth="1"/>
    <col min="9987" max="9987" width="6.7109375" customWidth="1"/>
    <col min="9988" max="9988" width="26.42578125" customWidth="1"/>
    <col min="9989" max="9989" width="17.5703125" customWidth="1"/>
    <col min="9990" max="9990" width="13" bestFit="1" customWidth="1"/>
    <col min="9991" max="9991" width="11.28515625" customWidth="1"/>
    <col min="9992" max="9992" width="14.28515625" customWidth="1"/>
    <col min="9993" max="9993" width="12.7109375" customWidth="1"/>
    <col min="9994" max="9995" width="0" hidden="1" customWidth="1"/>
    <col min="9996" max="9996" width="8.5703125" customWidth="1"/>
    <col min="9997" max="9997" width="14.7109375" bestFit="1" customWidth="1"/>
    <col min="9998" max="9998" width="13.7109375" customWidth="1"/>
    <col min="9999" max="9999" width="16.28515625" bestFit="1" customWidth="1"/>
    <col min="10000" max="10000" width="14.85546875" customWidth="1"/>
    <col min="10001" max="10001" width="12.140625" customWidth="1"/>
    <col min="10002" max="10003" width="11.42578125" bestFit="1" customWidth="1"/>
    <col min="10004" max="10005" width="9.7109375" customWidth="1"/>
    <col min="10006" max="10006" width="15.85546875" customWidth="1"/>
    <col min="10007" max="10007" width="14.7109375" customWidth="1"/>
    <col min="10008" max="10008" width="14.85546875" customWidth="1"/>
    <col min="10009" max="10009" width="22.42578125" customWidth="1"/>
    <col min="10010" max="10010" width="2.85546875" customWidth="1"/>
    <col min="10011" max="10011" width="12.140625" bestFit="1" customWidth="1"/>
    <col min="10012" max="10223" width="9.140625" customWidth="1"/>
    <col min="10224" max="10224" width="4.42578125" customWidth="1"/>
    <col min="10225" max="10225" width="21.5703125" customWidth="1"/>
    <col min="10226" max="10226" width="17.28515625" customWidth="1"/>
    <col min="10227" max="10227" width="16.42578125" customWidth="1"/>
    <col min="10228" max="10228" width="9.85546875" customWidth="1"/>
    <col min="10229" max="10229" width="9.140625" customWidth="1"/>
    <col min="10230" max="10230" width="14.28515625" customWidth="1"/>
    <col min="10231" max="10231" width="8.42578125" customWidth="1"/>
    <col min="10232" max="10232" width="6.7109375" customWidth="1"/>
    <col min="10233" max="10233" width="7.42578125" customWidth="1"/>
    <col min="10241" max="10241" width="4.42578125" customWidth="1"/>
    <col min="10242" max="10242" width="7.42578125" customWidth="1"/>
    <col min="10243" max="10243" width="6.7109375" customWidth="1"/>
    <col min="10244" max="10244" width="26.42578125" customWidth="1"/>
    <col min="10245" max="10245" width="17.5703125" customWidth="1"/>
    <col min="10246" max="10246" width="13" bestFit="1" customWidth="1"/>
    <col min="10247" max="10247" width="11.28515625" customWidth="1"/>
    <col min="10248" max="10248" width="14.28515625" customWidth="1"/>
    <col min="10249" max="10249" width="12.7109375" customWidth="1"/>
    <col min="10250" max="10251" width="0" hidden="1" customWidth="1"/>
    <col min="10252" max="10252" width="8.5703125" customWidth="1"/>
    <col min="10253" max="10253" width="14.7109375" bestFit="1" customWidth="1"/>
    <col min="10254" max="10254" width="13.7109375" customWidth="1"/>
    <col min="10255" max="10255" width="16.28515625" bestFit="1" customWidth="1"/>
    <col min="10256" max="10256" width="14.85546875" customWidth="1"/>
    <col min="10257" max="10257" width="12.140625" customWidth="1"/>
    <col min="10258" max="10259" width="11.42578125" bestFit="1" customWidth="1"/>
    <col min="10260" max="10261" width="9.7109375" customWidth="1"/>
    <col min="10262" max="10262" width="15.85546875" customWidth="1"/>
    <col min="10263" max="10263" width="14.7109375" customWidth="1"/>
    <col min="10264" max="10264" width="14.85546875" customWidth="1"/>
    <col min="10265" max="10265" width="22.42578125" customWidth="1"/>
    <col min="10266" max="10266" width="2.85546875" customWidth="1"/>
    <col min="10267" max="10267" width="12.140625" bestFit="1" customWidth="1"/>
    <col min="10268" max="10479" width="9.140625" customWidth="1"/>
    <col min="10480" max="10480" width="4.42578125" customWidth="1"/>
    <col min="10481" max="10481" width="21.5703125" customWidth="1"/>
    <col min="10482" max="10482" width="17.28515625" customWidth="1"/>
    <col min="10483" max="10483" width="16.42578125" customWidth="1"/>
    <col min="10484" max="10484" width="9.85546875" customWidth="1"/>
    <col min="10485" max="10485" width="9.140625" customWidth="1"/>
    <col min="10486" max="10486" width="14.28515625" customWidth="1"/>
    <col min="10487" max="10487" width="8.42578125" customWidth="1"/>
    <col min="10488" max="10488" width="6.7109375" customWidth="1"/>
    <col min="10489" max="10489" width="7.42578125" customWidth="1"/>
    <col min="10497" max="10497" width="4.42578125" customWidth="1"/>
    <col min="10498" max="10498" width="7.42578125" customWidth="1"/>
    <col min="10499" max="10499" width="6.7109375" customWidth="1"/>
    <col min="10500" max="10500" width="26.42578125" customWidth="1"/>
    <col min="10501" max="10501" width="17.5703125" customWidth="1"/>
    <col min="10502" max="10502" width="13" bestFit="1" customWidth="1"/>
    <col min="10503" max="10503" width="11.28515625" customWidth="1"/>
    <col min="10504" max="10504" width="14.28515625" customWidth="1"/>
    <col min="10505" max="10505" width="12.7109375" customWidth="1"/>
    <col min="10506" max="10507" width="0" hidden="1" customWidth="1"/>
    <col min="10508" max="10508" width="8.5703125" customWidth="1"/>
    <col min="10509" max="10509" width="14.7109375" bestFit="1" customWidth="1"/>
    <col min="10510" max="10510" width="13.7109375" customWidth="1"/>
    <col min="10511" max="10511" width="16.28515625" bestFit="1" customWidth="1"/>
    <col min="10512" max="10512" width="14.85546875" customWidth="1"/>
    <col min="10513" max="10513" width="12.140625" customWidth="1"/>
    <col min="10514" max="10515" width="11.42578125" bestFit="1" customWidth="1"/>
    <col min="10516" max="10517" width="9.7109375" customWidth="1"/>
    <col min="10518" max="10518" width="15.85546875" customWidth="1"/>
    <col min="10519" max="10519" width="14.7109375" customWidth="1"/>
    <col min="10520" max="10520" width="14.85546875" customWidth="1"/>
    <col min="10521" max="10521" width="22.42578125" customWidth="1"/>
    <col min="10522" max="10522" width="2.85546875" customWidth="1"/>
    <col min="10523" max="10523" width="12.140625" bestFit="1" customWidth="1"/>
    <col min="10524" max="10735" width="9.140625" customWidth="1"/>
    <col min="10736" max="10736" width="4.42578125" customWidth="1"/>
    <col min="10737" max="10737" width="21.5703125" customWidth="1"/>
    <col min="10738" max="10738" width="17.28515625" customWidth="1"/>
    <col min="10739" max="10739" width="16.42578125" customWidth="1"/>
    <col min="10740" max="10740" width="9.85546875" customWidth="1"/>
    <col min="10741" max="10741" width="9.140625" customWidth="1"/>
    <col min="10742" max="10742" width="14.28515625" customWidth="1"/>
    <col min="10743" max="10743" width="8.42578125" customWidth="1"/>
    <col min="10744" max="10744" width="6.7109375" customWidth="1"/>
    <col min="10745" max="10745" width="7.42578125" customWidth="1"/>
    <col min="10753" max="10753" width="4.42578125" customWidth="1"/>
    <col min="10754" max="10754" width="7.42578125" customWidth="1"/>
    <col min="10755" max="10755" width="6.7109375" customWidth="1"/>
    <col min="10756" max="10756" width="26.42578125" customWidth="1"/>
    <col min="10757" max="10757" width="17.5703125" customWidth="1"/>
    <col min="10758" max="10758" width="13" bestFit="1" customWidth="1"/>
    <col min="10759" max="10759" width="11.28515625" customWidth="1"/>
    <col min="10760" max="10760" width="14.28515625" customWidth="1"/>
    <col min="10761" max="10761" width="12.7109375" customWidth="1"/>
    <col min="10762" max="10763" width="0" hidden="1" customWidth="1"/>
    <col min="10764" max="10764" width="8.5703125" customWidth="1"/>
    <col min="10765" max="10765" width="14.7109375" bestFit="1" customWidth="1"/>
    <col min="10766" max="10766" width="13.7109375" customWidth="1"/>
    <col min="10767" max="10767" width="16.28515625" bestFit="1" customWidth="1"/>
    <col min="10768" max="10768" width="14.85546875" customWidth="1"/>
    <col min="10769" max="10769" width="12.140625" customWidth="1"/>
    <col min="10770" max="10771" width="11.42578125" bestFit="1" customWidth="1"/>
    <col min="10772" max="10773" width="9.7109375" customWidth="1"/>
    <col min="10774" max="10774" width="15.85546875" customWidth="1"/>
    <col min="10775" max="10775" width="14.7109375" customWidth="1"/>
    <col min="10776" max="10776" width="14.85546875" customWidth="1"/>
    <col min="10777" max="10777" width="22.42578125" customWidth="1"/>
    <col min="10778" max="10778" width="2.85546875" customWidth="1"/>
    <col min="10779" max="10779" width="12.140625" bestFit="1" customWidth="1"/>
    <col min="10780" max="10991" width="9.140625" customWidth="1"/>
    <col min="10992" max="10992" width="4.42578125" customWidth="1"/>
    <col min="10993" max="10993" width="21.5703125" customWidth="1"/>
    <col min="10994" max="10994" width="17.28515625" customWidth="1"/>
    <col min="10995" max="10995" width="16.42578125" customWidth="1"/>
    <col min="10996" max="10996" width="9.85546875" customWidth="1"/>
    <col min="10997" max="10997" width="9.140625" customWidth="1"/>
    <col min="10998" max="10998" width="14.28515625" customWidth="1"/>
    <col min="10999" max="10999" width="8.42578125" customWidth="1"/>
    <col min="11000" max="11000" width="6.7109375" customWidth="1"/>
    <col min="11001" max="11001" width="7.42578125" customWidth="1"/>
    <col min="11009" max="11009" width="4.42578125" customWidth="1"/>
    <col min="11010" max="11010" width="7.42578125" customWidth="1"/>
    <col min="11011" max="11011" width="6.7109375" customWidth="1"/>
    <col min="11012" max="11012" width="26.42578125" customWidth="1"/>
    <col min="11013" max="11013" width="17.5703125" customWidth="1"/>
    <col min="11014" max="11014" width="13" bestFit="1" customWidth="1"/>
    <col min="11015" max="11015" width="11.28515625" customWidth="1"/>
    <col min="11016" max="11016" width="14.28515625" customWidth="1"/>
    <col min="11017" max="11017" width="12.7109375" customWidth="1"/>
    <col min="11018" max="11019" width="0" hidden="1" customWidth="1"/>
    <col min="11020" max="11020" width="8.5703125" customWidth="1"/>
    <col min="11021" max="11021" width="14.7109375" bestFit="1" customWidth="1"/>
    <col min="11022" max="11022" width="13.7109375" customWidth="1"/>
    <col min="11023" max="11023" width="16.28515625" bestFit="1" customWidth="1"/>
    <col min="11024" max="11024" width="14.85546875" customWidth="1"/>
    <col min="11025" max="11025" width="12.140625" customWidth="1"/>
    <col min="11026" max="11027" width="11.42578125" bestFit="1" customWidth="1"/>
    <col min="11028" max="11029" width="9.7109375" customWidth="1"/>
    <col min="11030" max="11030" width="15.85546875" customWidth="1"/>
    <col min="11031" max="11031" width="14.7109375" customWidth="1"/>
    <col min="11032" max="11032" width="14.85546875" customWidth="1"/>
    <col min="11033" max="11033" width="22.42578125" customWidth="1"/>
    <col min="11034" max="11034" width="2.85546875" customWidth="1"/>
    <col min="11035" max="11035" width="12.140625" bestFit="1" customWidth="1"/>
    <col min="11036" max="11247" width="9.140625" customWidth="1"/>
    <col min="11248" max="11248" width="4.42578125" customWidth="1"/>
    <col min="11249" max="11249" width="21.5703125" customWidth="1"/>
    <col min="11250" max="11250" width="17.28515625" customWidth="1"/>
    <col min="11251" max="11251" width="16.42578125" customWidth="1"/>
    <col min="11252" max="11252" width="9.85546875" customWidth="1"/>
    <col min="11253" max="11253" width="9.140625" customWidth="1"/>
    <col min="11254" max="11254" width="14.28515625" customWidth="1"/>
    <col min="11255" max="11255" width="8.42578125" customWidth="1"/>
    <col min="11256" max="11256" width="6.7109375" customWidth="1"/>
    <col min="11257" max="11257" width="7.42578125" customWidth="1"/>
    <col min="11265" max="11265" width="4.42578125" customWidth="1"/>
    <col min="11266" max="11266" width="7.42578125" customWidth="1"/>
    <col min="11267" max="11267" width="6.7109375" customWidth="1"/>
    <col min="11268" max="11268" width="26.42578125" customWidth="1"/>
    <col min="11269" max="11269" width="17.5703125" customWidth="1"/>
    <col min="11270" max="11270" width="13" bestFit="1" customWidth="1"/>
    <col min="11271" max="11271" width="11.28515625" customWidth="1"/>
    <col min="11272" max="11272" width="14.28515625" customWidth="1"/>
    <col min="11273" max="11273" width="12.7109375" customWidth="1"/>
    <col min="11274" max="11275" width="0" hidden="1" customWidth="1"/>
    <col min="11276" max="11276" width="8.5703125" customWidth="1"/>
    <col min="11277" max="11277" width="14.7109375" bestFit="1" customWidth="1"/>
    <col min="11278" max="11278" width="13.7109375" customWidth="1"/>
    <col min="11279" max="11279" width="16.28515625" bestFit="1" customWidth="1"/>
    <col min="11280" max="11280" width="14.85546875" customWidth="1"/>
    <col min="11281" max="11281" width="12.140625" customWidth="1"/>
    <col min="11282" max="11283" width="11.42578125" bestFit="1" customWidth="1"/>
    <col min="11284" max="11285" width="9.7109375" customWidth="1"/>
    <col min="11286" max="11286" width="15.85546875" customWidth="1"/>
    <col min="11287" max="11287" width="14.7109375" customWidth="1"/>
    <col min="11288" max="11288" width="14.85546875" customWidth="1"/>
    <col min="11289" max="11289" width="22.42578125" customWidth="1"/>
    <col min="11290" max="11290" width="2.85546875" customWidth="1"/>
    <col min="11291" max="11291" width="12.140625" bestFit="1" customWidth="1"/>
    <col min="11292" max="11503" width="9.140625" customWidth="1"/>
    <col min="11504" max="11504" width="4.42578125" customWidth="1"/>
    <col min="11505" max="11505" width="21.5703125" customWidth="1"/>
    <col min="11506" max="11506" width="17.28515625" customWidth="1"/>
    <col min="11507" max="11507" width="16.42578125" customWidth="1"/>
    <col min="11508" max="11508" width="9.85546875" customWidth="1"/>
    <col min="11509" max="11509" width="9.140625" customWidth="1"/>
    <col min="11510" max="11510" width="14.28515625" customWidth="1"/>
    <col min="11511" max="11511" width="8.42578125" customWidth="1"/>
    <col min="11512" max="11512" width="6.7109375" customWidth="1"/>
    <col min="11513" max="11513" width="7.42578125" customWidth="1"/>
    <col min="11521" max="11521" width="4.42578125" customWidth="1"/>
    <col min="11522" max="11522" width="7.42578125" customWidth="1"/>
    <col min="11523" max="11523" width="6.7109375" customWidth="1"/>
    <col min="11524" max="11524" width="26.42578125" customWidth="1"/>
    <col min="11525" max="11525" width="17.5703125" customWidth="1"/>
    <col min="11526" max="11526" width="13" bestFit="1" customWidth="1"/>
    <col min="11527" max="11527" width="11.28515625" customWidth="1"/>
    <col min="11528" max="11528" width="14.28515625" customWidth="1"/>
    <col min="11529" max="11529" width="12.7109375" customWidth="1"/>
    <col min="11530" max="11531" width="0" hidden="1" customWidth="1"/>
    <col min="11532" max="11532" width="8.5703125" customWidth="1"/>
    <col min="11533" max="11533" width="14.7109375" bestFit="1" customWidth="1"/>
    <col min="11534" max="11534" width="13.7109375" customWidth="1"/>
    <col min="11535" max="11535" width="16.28515625" bestFit="1" customWidth="1"/>
    <col min="11536" max="11536" width="14.85546875" customWidth="1"/>
    <col min="11537" max="11537" width="12.140625" customWidth="1"/>
    <col min="11538" max="11539" width="11.42578125" bestFit="1" customWidth="1"/>
    <col min="11540" max="11541" width="9.7109375" customWidth="1"/>
    <col min="11542" max="11542" width="15.85546875" customWidth="1"/>
    <col min="11543" max="11543" width="14.7109375" customWidth="1"/>
    <col min="11544" max="11544" width="14.85546875" customWidth="1"/>
    <col min="11545" max="11545" width="22.42578125" customWidth="1"/>
    <col min="11546" max="11546" width="2.85546875" customWidth="1"/>
    <col min="11547" max="11547" width="12.140625" bestFit="1" customWidth="1"/>
    <col min="11548" max="11759" width="9.140625" customWidth="1"/>
    <col min="11760" max="11760" width="4.42578125" customWidth="1"/>
    <col min="11761" max="11761" width="21.5703125" customWidth="1"/>
    <col min="11762" max="11762" width="17.28515625" customWidth="1"/>
    <col min="11763" max="11763" width="16.42578125" customWidth="1"/>
    <col min="11764" max="11764" width="9.85546875" customWidth="1"/>
    <col min="11765" max="11765" width="9.140625" customWidth="1"/>
    <col min="11766" max="11766" width="14.28515625" customWidth="1"/>
    <col min="11767" max="11767" width="8.42578125" customWidth="1"/>
    <col min="11768" max="11768" width="6.7109375" customWidth="1"/>
    <col min="11769" max="11769" width="7.42578125" customWidth="1"/>
    <col min="11777" max="11777" width="4.42578125" customWidth="1"/>
    <col min="11778" max="11778" width="7.42578125" customWidth="1"/>
    <col min="11779" max="11779" width="6.7109375" customWidth="1"/>
    <col min="11780" max="11780" width="26.42578125" customWidth="1"/>
    <col min="11781" max="11781" width="17.5703125" customWidth="1"/>
    <col min="11782" max="11782" width="13" bestFit="1" customWidth="1"/>
    <col min="11783" max="11783" width="11.28515625" customWidth="1"/>
    <col min="11784" max="11784" width="14.28515625" customWidth="1"/>
    <col min="11785" max="11785" width="12.7109375" customWidth="1"/>
    <col min="11786" max="11787" width="0" hidden="1" customWidth="1"/>
    <col min="11788" max="11788" width="8.5703125" customWidth="1"/>
    <col min="11789" max="11789" width="14.7109375" bestFit="1" customWidth="1"/>
    <col min="11790" max="11790" width="13.7109375" customWidth="1"/>
    <col min="11791" max="11791" width="16.28515625" bestFit="1" customWidth="1"/>
    <col min="11792" max="11792" width="14.85546875" customWidth="1"/>
    <col min="11793" max="11793" width="12.140625" customWidth="1"/>
    <col min="11794" max="11795" width="11.42578125" bestFit="1" customWidth="1"/>
    <col min="11796" max="11797" width="9.7109375" customWidth="1"/>
    <col min="11798" max="11798" width="15.85546875" customWidth="1"/>
    <col min="11799" max="11799" width="14.7109375" customWidth="1"/>
    <col min="11800" max="11800" width="14.85546875" customWidth="1"/>
    <col min="11801" max="11801" width="22.42578125" customWidth="1"/>
    <col min="11802" max="11802" width="2.85546875" customWidth="1"/>
    <col min="11803" max="11803" width="12.140625" bestFit="1" customWidth="1"/>
    <col min="11804" max="12015" width="9.140625" customWidth="1"/>
    <col min="12016" max="12016" width="4.42578125" customWidth="1"/>
    <col min="12017" max="12017" width="21.5703125" customWidth="1"/>
    <col min="12018" max="12018" width="17.28515625" customWidth="1"/>
    <col min="12019" max="12019" width="16.42578125" customWidth="1"/>
    <col min="12020" max="12020" width="9.85546875" customWidth="1"/>
    <col min="12021" max="12021" width="9.140625" customWidth="1"/>
    <col min="12022" max="12022" width="14.28515625" customWidth="1"/>
    <col min="12023" max="12023" width="8.42578125" customWidth="1"/>
    <col min="12024" max="12024" width="6.7109375" customWidth="1"/>
    <col min="12025" max="12025" width="7.42578125" customWidth="1"/>
    <col min="12033" max="12033" width="4.42578125" customWidth="1"/>
    <col min="12034" max="12034" width="7.42578125" customWidth="1"/>
    <col min="12035" max="12035" width="6.7109375" customWidth="1"/>
    <col min="12036" max="12036" width="26.42578125" customWidth="1"/>
    <col min="12037" max="12037" width="17.5703125" customWidth="1"/>
    <col min="12038" max="12038" width="13" bestFit="1" customWidth="1"/>
    <col min="12039" max="12039" width="11.28515625" customWidth="1"/>
    <col min="12040" max="12040" width="14.28515625" customWidth="1"/>
    <col min="12041" max="12041" width="12.7109375" customWidth="1"/>
    <col min="12042" max="12043" width="0" hidden="1" customWidth="1"/>
    <col min="12044" max="12044" width="8.5703125" customWidth="1"/>
    <col min="12045" max="12045" width="14.7109375" bestFit="1" customWidth="1"/>
    <col min="12046" max="12046" width="13.7109375" customWidth="1"/>
    <col min="12047" max="12047" width="16.28515625" bestFit="1" customWidth="1"/>
    <col min="12048" max="12048" width="14.85546875" customWidth="1"/>
    <col min="12049" max="12049" width="12.140625" customWidth="1"/>
    <col min="12050" max="12051" width="11.42578125" bestFit="1" customWidth="1"/>
    <col min="12052" max="12053" width="9.7109375" customWidth="1"/>
    <col min="12054" max="12054" width="15.85546875" customWidth="1"/>
    <col min="12055" max="12055" width="14.7109375" customWidth="1"/>
    <col min="12056" max="12056" width="14.85546875" customWidth="1"/>
    <col min="12057" max="12057" width="22.42578125" customWidth="1"/>
    <col min="12058" max="12058" width="2.85546875" customWidth="1"/>
    <col min="12059" max="12059" width="12.140625" bestFit="1" customWidth="1"/>
    <col min="12060" max="12271" width="9.140625" customWidth="1"/>
    <col min="12272" max="12272" width="4.42578125" customWidth="1"/>
    <col min="12273" max="12273" width="21.5703125" customWidth="1"/>
    <col min="12274" max="12274" width="17.28515625" customWidth="1"/>
    <col min="12275" max="12275" width="16.42578125" customWidth="1"/>
    <col min="12276" max="12276" width="9.85546875" customWidth="1"/>
    <col min="12277" max="12277" width="9.140625" customWidth="1"/>
    <col min="12278" max="12278" width="14.28515625" customWidth="1"/>
    <col min="12279" max="12279" width="8.42578125" customWidth="1"/>
    <col min="12280" max="12280" width="6.7109375" customWidth="1"/>
    <col min="12281" max="12281" width="7.42578125" customWidth="1"/>
    <col min="12289" max="12289" width="4.42578125" customWidth="1"/>
    <col min="12290" max="12290" width="7.42578125" customWidth="1"/>
    <col min="12291" max="12291" width="6.7109375" customWidth="1"/>
    <col min="12292" max="12292" width="26.42578125" customWidth="1"/>
    <col min="12293" max="12293" width="17.5703125" customWidth="1"/>
    <col min="12294" max="12294" width="13" bestFit="1" customWidth="1"/>
    <col min="12295" max="12295" width="11.28515625" customWidth="1"/>
    <col min="12296" max="12296" width="14.28515625" customWidth="1"/>
    <col min="12297" max="12297" width="12.7109375" customWidth="1"/>
    <col min="12298" max="12299" width="0" hidden="1" customWidth="1"/>
    <col min="12300" max="12300" width="8.5703125" customWidth="1"/>
    <col min="12301" max="12301" width="14.7109375" bestFit="1" customWidth="1"/>
    <col min="12302" max="12302" width="13.7109375" customWidth="1"/>
    <col min="12303" max="12303" width="16.28515625" bestFit="1" customWidth="1"/>
    <col min="12304" max="12304" width="14.85546875" customWidth="1"/>
    <col min="12305" max="12305" width="12.140625" customWidth="1"/>
    <col min="12306" max="12307" width="11.42578125" bestFit="1" customWidth="1"/>
    <col min="12308" max="12309" width="9.7109375" customWidth="1"/>
    <col min="12310" max="12310" width="15.85546875" customWidth="1"/>
    <col min="12311" max="12311" width="14.7109375" customWidth="1"/>
    <col min="12312" max="12312" width="14.85546875" customWidth="1"/>
    <col min="12313" max="12313" width="22.42578125" customWidth="1"/>
    <col min="12314" max="12314" width="2.85546875" customWidth="1"/>
    <col min="12315" max="12315" width="12.140625" bestFit="1" customWidth="1"/>
    <col min="12316" max="12527" width="9.140625" customWidth="1"/>
    <col min="12528" max="12528" width="4.42578125" customWidth="1"/>
    <col min="12529" max="12529" width="21.5703125" customWidth="1"/>
    <col min="12530" max="12530" width="17.28515625" customWidth="1"/>
    <col min="12531" max="12531" width="16.42578125" customWidth="1"/>
    <col min="12532" max="12532" width="9.85546875" customWidth="1"/>
    <col min="12533" max="12533" width="9.140625" customWidth="1"/>
    <col min="12534" max="12534" width="14.28515625" customWidth="1"/>
    <col min="12535" max="12535" width="8.42578125" customWidth="1"/>
    <col min="12536" max="12536" width="6.7109375" customWidth="1"/>
    <col min="12537" max="12537" width="7.42578125" customWidth="1"/>
    <col min="12545" max="12545" width="4.42578125" customWidth="1"/>
    <col min="12546" max="12546" width="7.42578125" customWidth="1"/>
    <col min="12547" max="12547" width="6.7109375" customWidth="1"/>
    <col min="12548" max="12548" width="26.42578125" customWidth="1"/>
    <col min="12549" max="12549" width="17.5703125" customWidth="1"/>
    <col min="12550" max="12550" width="13" bestFit="1" customWidth="1"/>
    <col min="12551" max="12551" width="11.28515625" customWidth="1"/>
    <col min="12552" max="12552" width="14.28515625" customWidth="1"/>
    <col min="12553" max="12553" width="12.7109375" customWidth="1"/>
    <col min="12554" max="12555" width="0" hidden="1" customWidth="1"/>
    <col min="12556" max="12556" width="8.5703125" customWidth="1"/>
    <col min="12557" max="12557" width="14.7109375" bestFit="1" customWidth="1"/>
    <col min="12558" max="12558" width="13.7109375" customWidth="1"/>
    <col min="12559" max="12559" width="16.28515625" bestFit="1" customWidth="1"/>
    <col min="12560" max="12560" width="14.85546875" customWidth="1"/>
    <col min="12561" max="12561" width="12.140625" customWidth="1"/>
    <col min="12562" max="12563" width="11.42578125" bestFit="1" customWidth="1"/>
    <col min="12564" max="12565" width="9.7109375" customWidth="1"/>
    <col min="12566" max="12566" width="15.85546875" customWidth="1"/>
    <col min="12567" max="12567" width="14.7109375" customWidth="1"/>
    <col min="12568" max="12568" width="14.85546875" customWidth="1"/>
    <col min="12569" max="12569" width="22.42578125" customWidth="1"/>
    <col min="12570" max="12570" width="2.85546875" customWidth="1"/>
    <col min="12571" max="12571" width="12.140625" bestFit="1" customWidth="1"/>
    <col min="12572" max="12783" width="9.140625" customWidth="1"/>
    <col min="12784" max="12784" width="4.42578125" customWidth="1"/>
    <col min="12785" max="12785" width="21.5703125" customWidth="1"/>
    <col min="12786" max="12786" width="17.28515625" customWidth="1"/>
    <col min="12787" max="12787" width="16.42578125" customWidth="1"/>
    <col min="12788" max="12788" width="9.85546875" customWidth="1"/>
    <col min="12789" max="12789" width="9.140625" customWidth="1"/>
    <col min="12790" max="12790" width="14.28515625" customWidth="1"/>
    <col min="12791" max="12791" width="8.42578125" customWidth="1"/>
    <col min="12792" max="12792" width="6.7109375" customWidth="1"/>
    <col min="12793" max="12793" width="7.42578125" customWidth="1"/>
    <col min="12801" max="12801" width="4.42578125" customWidth="1"/>
    <col min="12802" max="12802" width="7.42578125" customWidth="1"/>
    <col min="12803" max="12803" width="6.7109375" customWidth="1"/>
    <col min="12804" max="12804" width="26.42578125" customWidth="1"/>
    <col min="12805" max="12805" width="17.5703125" customWidth="1"/>
    <col min="12806" max="12806" width="13" bestFit="1" customWidth="1"/>
    <col min="12807" max="12807" width="11.28515625" customWidth="1"/>
    <col min="12808" max="12808" width="14.28515625" customWidth="1"/>
    <col min="12809" max="12809" width="12.7109375" customWidth="1"/>
    <col min="12810" max="12811" width="0" hidden="1" customWidth="1"/>
    <col min="12812" max="12812" width="8.5703125" customWidth="1"/>
    <col min="12813" max="12813" width="14.7109375" bestFit="1" customWidth="1"/>
    <col min="12814" max="12814" width="13.7109375" customWidth="1"/>
    <col min="12815" max="12815" width="16.28515625" bestFit="1" customWidth="1"/>
    <col min="12816" max="12816" width="14.85546875" customWidth="1"/>
    <col min="12817" max="12817" width="12.140625" customWidth="1"/>
    <col min="12818" max="12819" width="11.42578125" bestFit="1" customWidth="1"/>
    <col min="12820" max="12821" width="9.7109375" customWidth="1"/>
    <col min="12822" max="12822" width="15.85546875" customWidth="1"/>
    <col min="12823" max="12823" width="14.7109375" customWidth="1"/>
    <col min="12824" max="12824" width="14.85546875" customWidth="1"/>
    <col min="12825" max="12825" width="22.42578125" customWidth="1"/>
    <col min="12826" max="12826" width="2.85546875" customWidth="1"/>
    <col min="12827" max="12827" width="12.140625" bestFit="1" customWidth="1"/>
    <col min="12828" max="13039" width="9.140625" customWidth="1"/>
    <col min="13040" max="13040" width="4.42578125" customWidth="1"/>
    <col min="13041" max="13041" width="21.5703125" customWidth="1"/>
    <col min="13042" max="13042" width="17.28515625" customWidth="1"/>
    <col min="13043" max="13043" width="16.42578125" customWidth="1"/>
    <col min="13044" max="13044" width="9.85546875" customWidth="1"/>
    <col min="13045" max="13045" width="9.140625" customWidth="1"/>
    <col min="13046" max="13046" width="14.28515625" customWidth="1"/>
    <col min="13047" max="13047" width="8.42578125" customWidth="1"/>
    <col min="13048" max="13048" width="6.7109375" customWidth="1"/>
    <col min="13049" max="13049" width="7.42578125" customWidth="1"/>
    <col min="13057" max="13057" width="4.42578125" customWidth="1"/>
    <col min="13058" max="13058" width="7.42578125" customWidth="1"/>
    <col min="13059" max="13059" width="6.7109375" customWidth="1"/>
    <col min="13060" max="13060" width="26.42578125" customWidth="1"/>
    <col min="13061" max="13061" width="17.5703125" customWidth="1"/>
    <col min="13062" max="13062" width="13" bestFit="1" customWidth="1"/>
    <col min="13063" max="13063" width="11.28515625" customWidth="1"/>
    <col min="13064" max="13064" width="14.28515625" customWidth="1"/>
    <col min="13065" max="13065" width="12.7109375" customWidth="1"/>
    <col min="13066" max="13067" width="0" hidden="1" customWidth="1"/>
    <col min="13068" max="13068" width="8.5703125" customWidth="1"/>
    <col min="13069" max="13069" width="14.7109375" bestFit="1" customWidth="1"/>
    <col min="13070" max="13070" width="13.7109375" customWidth="1"/>
    <col min="13071" max="13071" width="16.28515625" bestFit="1" customWidth="1"/>
    <col min="13072" max="13072" width="14.85546875" customWidth="1"/>
    <col min="13073" max="13073" width="12.140625" customWidth="1"/>
    <col min="13074" max="13075" width="11.42578125" bestFit="1" customWidth="1"/>
    <col min="13076" max="13077" width="9.7109375" customWidth="1"/>
    <col min="13078" max="13078" width="15.85546875" customWidth="1"/>
    <col min="13079" max="13079" width="14.7109375" customWidth="1"/>
    <col min="13080" max="13080" width="14.85546875" customWidth="1"/>
    <col min="13081" max="13081" width="22.42578125" customWidth="1"/>
    <col min="13082" max="13082" width="2.85546875" customWidth="1"/>
    <col min="13083" max="13083" width="12.140625" bestFit="1" customWidth="1"/>
    <col min="13084" max="13295" width="9.140625" customWidth="1"/>
    <col min="13296" max="13296" width="4.42578125" customWidth="1"/>
    <col min="13297" max="13297" width="21.5703125" customWidth="1"/>
    <col min="13298" max="13298" width="17.28515625" customWidth="1"/>
    <col min="13299" max="13299" width="16.42578125" customWidth="1"/>
    <col min="13300" max="13300" width="9.85546875" customWidth="1"/>
    <col min="13301" max="13301" width="9.140625" customWidth="1"/>
    <col min="13302" max="13302" width="14.28515625" customWidth="1"/>
    <col min="13303" max="13303" width="8.42578125" customWidth="1"/>
    <col min="13304" max="13304" width="6.7109375" customWidth="1"/>
    <col min="13305" max="13305" width="7.42578125" customWidth="1"/>
    <col min="13313" max="13313" width="4.42578125" customWidth="1"/>
    <col min="13314" max="13314" width="7.42578125" customWidth="1"/>
    <col min="13315" max="13315" width="6.7109375" customWidth="1"/>
    <col min="13316" max="13316" width="26.42578125" customWidth="1"/>
    <col min="13317" max="13317" width="17.5703125" customWidth="1"/>
    <col min="13318" max="13318" width="13" bestFit="1" customWidth="1"/>
    <col min="13319" max="13319" width="11.28515625" customWidth="1"/>
    <col min="13320" max="13320" width="14.28515625" customWidth="1"/>
    <col min="13321" max="13321" width="12.7109375" customWidth="1"/>
    <col min="13322" max="13323" width="0" hidden="1" customWidth="1"/>
    <col min="13324" max="13324" width="8.5703125" customWidth="1"/>
    <col min="13325" max="13325" width="14.7109375" bestFit="1" customWidth="1"/>
    <col min="13326" max="13326" width="13.7109375" customWidth="1"/>
    <col min="13327" max="13327" width="16.28515625" bestFit="1" customWidth="1"/>
    <col min="13328" max="13328" width="14.85546875" customWidth="1"/>
    <col min="13329" max="13329" width="12.140625" customWidth="1"/>
    <col min="13330" max="13331" width="11.42578125" bestFit="1" customWidth="1"/>
    <col min="13332" max="13333" width="9.7109375" customWidth="1"/>
    <col min="13334" max="13334" width="15.85546875" customWidth="1"/>
    <col min="13335" max="13335" width="14.7109375" customWidth="1"/>
    <col min="13336" max="13336" width="14.85546875" customWidth="1"/>
    <col min="13337" max="13337" width="22.42578125" customWidth="1"/>
    <col min="13338" max="13338" width="2.85546875" customWidth="1"/>
    <col min="13339" max="13339" width="12.140625" bestFit="1" customWidth="1"/>
    <col min="13340" max="13551" width="9.140625" customWidth="1"/>
    <col min="13552" max="13552" width="4.42578125" customWidth="1"/>
    <col min="13553" max="13553" width="21.5703125" customWidth="1"/>
    <col min="13554" max="13554" width="17.28515625" customWidth="1"/>
    <col min="13555" max="13555" width="16.42578125" customWidth="1"/>
    <col min="13556" max="13556" width="9.85546875" customWidth="1"/>
    <col min="13557" max="13557" width="9.140625" customWidth="1"/>
    <col min="13558" max="13558" width="14.28515625" customWidth="1"/>
    <col min="13559" max="13559" width="8.42578125" customWidth="1"/>
    <col min="13560" max="13560" width="6.7109375" customWidth="1"/>
    <col min="13561" max="13561" width="7.42578125" customWidth="1"/>
    <col min="13569" max="13569" width="4.42578125" customWidth="1"/>
    <col min="13570" max="13570" width="7.42578125" customWidth="1"/>
    <col min="13571" max="13571" width="6.7109375" customWidth="1"/>
    <col min="13572" max="13572" width="26.42578125" customWidth="1"/>
    <col min="13573" max="13573" width="17.5703125" customWidth="1"/>
    <col min="13574" max="13574" width="13" bestFit="1" customWidth="1"/>
    <col min="13575" max="13575" width="11.28515625" customWidth="1"/>
    <col min="13576" max="13576" width="14.28515625" customWidth="1"/>
    <col min="13577" max="13577" width="12.7109375" customWidth="1"/>
    <col min="13578" max="13579" width="0" hidden="1" customWidth="1"/>
    <col min="13580" max="13580" width="8.5703125" customWidth="1"/>
    <col min="13581" max="13581" width="14.7109375" bestFit="1" customWidth="1"/>
    <col min="13582" max="13582" width="13.7109375" customWidth="1"/>
    <col min="13583" max="13583" width="16.28515625" bestFit="1" customWidth="1"/>
    <col min="13584" max="13584" width="14.85546875" customWidth="1"/>
    <col min="13585" max="13585" width="12.140625" customWidth="1"/>
    <col min="13586" max="13587" width="11.42578125" bestFit="1" customWidth="1"/>
    <col min="13588" max="13589" width="9.7109375" customWidth="1"/>
    <col min="13590" max="13590" width="15.85546875" customWidth="1"/>
    <col min="13591" max="13591" width="14.7109375" customWidth="1"/>
    <col min="13592" max="13592" width="14.85546875" customWidth="1"/>
    <col min="13593" max="13593" width="22.42578125" customWidth="1"/>
    <col min="13594" max="13594" width="2.85546875" customWidth="1"/>
    <col min="13595" max="13595" width="12.140625" bestFit="1" customWidth="1"/>
    <col min="13596" max="13807" width="9.140625" customWidth="1"/>
    <col min="13808" max="13808" width="4.42578125" customWidth="1"/>
    <col min="13809" max="13809" width="21.5703125" customWidth="1"/>
    <col min="13810" max="13810" width="17.28515625" customWidth="1"/>
    <col min="13811" max="13811" width="16.42578125" customWidth="1"/>
    <col min="13812" max="13812" width="9.85546875" customWidth="1"/>
    <col min="13813" max="13813" width="9.140625" customWidth="1"/>
    <col min="13814" max="13814" width="14.28515625" customWidth="1"/>
    <col min="13815" max="13815" width="8.42578125" customWidth="1"/>
    <col min="13816" max="13816" width="6.7109375" customWidth="1"/>
    <col min="13817" max="13817" width="7.42578125" customWidth="1"/>
    <col min="13825" max="13825" width="4.42578125" customWidth="1"/>
    <col min="13826" max="13826" width="7.42578125" customWidth="1"/>
    <col min="13827" max="13827" width="6.7109375" customWidth="1"/>
    <col min="13828" max="13828" width="26.42578125" customWidth="1"/>
    <col min="13829" max="13829" width="17.5703125" customWidth="1"/>
    <col min="13830" max="13830" width="13" bestFit="1" customWidth="1"/>
    <col min="13831" max="13831" width="11.28515625" customWidth="1"/>
    <col min="13832" max="13832" width="14.28515625" customWidth="1"/>
    <col min="13833" max="13833" width="12.7109375" customWidth="1"/>
    <col min="13834" max="13835" width="0" hidden="1" customWidth="1"/>
    <col min="13836" max="13836" width="8.5703125" customWidth="1"/>
    <col min="13837" max="13837" width="14.7109375" bestFit="1" customWidth="1"/>
    <col min="13838" max="13838" width="13.7109375" customWidth="1"/>
    <col min="13839" max="13839" width="16.28515625" bestFit="1" customWidth="1"/>
    <col min="13840" max="13840" width="14.85546875" customWidth="1"/>
    <col min="13841" max="13841" width="12.140625" customWidth="1"/>
    <col min="13842" max="13843" width="11.42578125" bestFit="1" customWidth="1"/>
    <col min="13844" max="13845" width="9.7109375" customWidth="1"/>
    <col min="13846" max="13846" width="15.85546875" customWidth="1"/>
    <col min="13847" max="13847" width="14.7109375" customWidth="1"/>
    <col min="13848" max="13848" width="14.85546875" customWidth="1"/>
    <col min="13849" max="13849" width="22.42578125" customWidth="1"/>
    <col min="13850" max="13850" width="2.85546875" customWidth="1"/>
    <col min="13851" max="13851" width="12.140625" bestFit="1" customWidth="1"/>
    <col min="13852" max="14063" width="9.140625" customWidth="1"/>
    <col min="14064" max="14064" width="4.42578125" customWidth="1"/>
    <col min="14065" max="14065" width="21.5703125" customWidth="1"/>
    <col min="14066" max="14066" width="17.28515625" customWidth="1"/>
    <col min="14067" max="14067" width="16.42578125" customWidth="1"/>
    <col min="14068" max="14068" width="9.85546875" customWidth="1"/>
    <col min="14069" max="14069" width="9.140625" customWidth="1"/>
    <col min="14070" max="14070" width="14.28515625" customWidth="1"/>
    <col min="14071" max="14071" width="8.42578125" customWidth="1"/>
    <col min="14072" max="14072" width="6.7109375" customWidth="1"/>
    <col min="14073" max="14073" width="7.42578125" customWidth="1"/>
    <col min="14081" max="14081" width="4.42578125" customWidth="1"/>
    <col min="14082" max="14082" width="7.42578125" customWidth="1"/>
    <col min="14083" max="14083" width="6.7109375" customWidth="1"/>
    <col min="14084" max="14084" width="26.42578125" customWidth="1"/>
    <col min="14085" max="14085" width="17.5703125" customWidth="1"/>
    <col min="14086" max="14086" width="13" bestFit="1" customWidth="1"/>
    <col min="14087" max="14087" width="11.28515625" customWidth="1"/>
    <col min="14088" max="14088" width="14.28515625" customWidth="1"/>
    <col min="14089" max="14089" width="12.7109375" customWidth="1"/>
    <col min="14090" max="14091" width="0" hidden="1" customWidth="1"/>
    <col min="14092" max="14092" width="8.5703125" customWidth="1"/>
    <col min="14093" max="14093" width="14.7109375" bestFit="1" customWidth="1"/>
    <col min="14094" max="14094" width="13.7109375" customWidth="1"/>
    <col min="14095" max="14095" width="16.28515625" bestFit="1" customWidth="1"/>
    <col min="14096" max="14096" width="14.85546875" customWidth="1"/>
    <col min="14097" max="14097" width="12.140625" customWidth="1"/>
    <col min="14098" max="14099" width="11.42578125" bestFit="1" customWidth="1"/>
    <col min="14100" max="14101" width="9.7109375" customWidth="1"/>
    <col min="14102" max="14102" width="15.85546875" customWidth="1"/>
    <col min="14103" max="14103" width="14.7109375" customWidth="1"/>
    <col min="14104" max="14104" width="14.85546875" customWidth="1"/>
    <col min="14105" max="14105" width="22.42578125" customWidth="1"/>
    <col min="14106" max="14106" width="2.85546875" customWidth="1"/>
    <col min="14107" max="14107" width="12.140625" bestFit="1" customWidth="1"/>
    <col min="14108" max="14319" width="9.140625" customWidth="1"/>
    <col min="14320" max="14320" width="4.42578125" customWidth="1"/>
    <col min="14321" max="14321" width="21.5703125" customWidth="1"/>
    <col min="14322" max="14322" width="17.28515625" customWidth="1"/>
    <col min="14323" max="14323" width="16.42578125" customWidth="1"/>
    <col min="14324" max="14324" width="9.85546875" customWidth="1"/>
    <col min="14325" max="14325" width="9.140625" customWidth="1"/>
    <col min="14326" max="14326" width="14.28515625" customWidth="1"/>
    <col min="14327" max="14327" width="8.42578125" customWidth="1"/>
    <col min="14328" max="14328" width="6.7109375" customWidth="1"/>
    <col min="14329" max="14329" width="7.42578125" customWidth="1"/>
    <col min="14337" max="14337" width="4.42578125" customWidth="1"/>
    <col min="14338" max="14338" width="7.42578125" customWidth="1"/>
    <col min="14339" max="14339" width="6.7109375" customWidth="1"/>
    <col min="14340" max="14340" width="26.42578125" customWidth="1"/>
    <col min="14341" max="14341" width="17.5703125" customWidth="1"/>
    <col min="14342" max="14342" width="13" bestFit="1" customWidth="1"/>
    <col min="14343" max="14343" width="11.28515625" customWidth="1"/>
    <col min="14344" max="14344" width="14.28515625" customWidth="1"/>
    <col min="14345" max="14345" width="12.7109375" customWidth="1"/>
    <col min="14346" max="14347" width="0" hidden="1" customWidth="1"/>
    <col min="14348" max="14348" width="8.5703125" customWidth="1"/>
    <col min="14349" max="14349" width="14.7109375" bestFit="1" customWidth="1"/>
    <col min="14350" max="14350" width="13.7109375" customWidth="1"/>
    <col min="14351" max="14351" width="16.28515625" bestFit="1" customWidth="1"/>
    <col min="14352" max="14352" width="14.85546875" customWidth="1"/>
    <col min="14353" max="14353" width="12.140625" customWidth="1"/>
    <col min="14354" max="14355" width="11.42578125" bestFit="1" customWidth="1"/>
    <col min="14356" max="14357" width="9.7109375" customWidth="1"/>
    <col min="14358" max="14358" width="15.85546875" customWidth="1"/>
    <col min="14359" max="14359" width="14.7109375" customWidth="1"/>
    <col min="14360" max="14360" width="14.85546875" customWidth="1"/>
    <col min="14361" max="14361" width="22.42578125" customWidth="1"/>
    <col min="14362" max="14362" width="2.85546875" customWidth="1"/>
    <col min="14363" max="14363" width="12.140625" bestFit="1" customWidth="1"/>
    <col min="14364" max="14575" width="9.140625" customWidth="1"/>
    <col min="14576" max="14576" width="4.42578125" customWidth="1"/>
    <col min="14577" max="14577" width="21.5703125" customWidth="1"/>
    <col min="14578" max="14578" width="17.28515625" customWidth="1"/>
    <col min="14579" max="14579" width="16.42578125" customWidth="1"/>
    <col min="14580" max="14580" width="9.85546875" customWidth="1"/>
    <col min="14581" max="14581" width="9.140625" customWidth="1"/>
    <col min="14582" max="14582" width="14.28515625" customWidth="1"/>
    <col min="14583" max="14583" width="8.42578125" customWidth="1"/>
    <col min="14584" max="14584" width="6.7109375" customWidth="1"/>
    <col min="14585" max="14585" width="7.42578125" customWidth="1"/>
    <col min="14593" max="14593" width="4.42578125" customWidth="1"/>
    <col min="14594" max="14594" width="7.42578125" customWidth="1"/>
    <col min="14595" max="14595" width="6.7109375" customWidth="1"/>
    <col min="14596" max="14596" width="26.42578125" customWidth="1"/>
    <col min="14597" max="14597" width="17.5703125" customWidth="1"/>
    <col min="14598" max="14598" width="13" bestFit="1" customWidth="1"/>
    <col min="14599" max="14599" width="11.28515625" customWidth="1"/>
    <col min="14600" max="14600" width="14.28515625" customWidth="1"/>
    <col min="14601" max="14601" width="12.7109375" customWidth="1"/>
    <col min="14602" max="14603" width="0" hidden="1" customWidth="1"/>
    <col min="14604" max="14604" width="8.5703125" customWidth="1"/>
    <col min="14605" max="14605" width="14.7109375" bestFit="1" customWidth="1"/>
    <col min="14606" max="14606" width="13.7109375" customWidth="1"/>
    <col min="14607" max="14607" width="16.28515625" bestFit="1" customWidth="1"/>
    <col min="14608" max="14608" width="14.85546875" customWidth="1"/>
    <col min="14609" max="14609" width="12.140625" customWidth="1"/>
    <col min="14610" max="14611" width="11.42578125" bestFit="1" customWidth="1"/>
    <col min="14612" max="14613" width="9.7109375" customWidth="1"/>
    <col min="14614" max="14614" width="15.85546875" customWidth="1"/>
    <col min="14615" max="14615" width="14.7109375" customWidth="1"/>
    <col min="14616" max="14616" width="14.85546875" customWidth="1"/>
    <col min="14617" max="14617" width="22.42578125" customWidth="1"/>
    <col min="14618" max="14618" width="2.85546875" customWidth="1"/>
    <col min="14619" max="14619" width="12.140625" bestFit="1" customWidth="1"/>
    <col min="14620" max="14831" width="9.140625" customWidth="1"/>
    <col min="14832" max="14832" width="4.42578125" customWidth="1"/>
    <col min="14833" max="14833" width="21.5703125" customWidth="1"/>
    <col min="14834" max="14834" width="17.28515625" customWidth="1"/>
    <col min="14835" max="14835" width="16.42578125" customWidth="1"/>
    <col min="14836" max="14836" width="9.85546875" customWidth="1"/>
    <col min="14837" max="14837" width="9.140625" customWidth="1"/>
    <col min="14838" max="14838" width="14.28515625" customWidth="1"/>
    <col min="14839" max="14839" width="8.42578125" customWidth="1"/>
    <col min="14840" max="14840" width="6.7109375" customWidth="1"/>
    <col min="14841" max="14841" width="7.42578125" customWidth="1"/>
    <col min="14849" max="14849" width="4.42578125" customWidth="1"/>
    <col min="14850" max="14850" width="7.42578125" customWidth="1"/>
    <col min="14851" max="14851" width="6.7109375" customWidth="1"/>
    <col min="14852" max="14852" width="26.42578125" customWidth="1"/>
    <col min="14853" max="14853" width="17.5703125" customWidth="1"/>
    <col min="14854" max="14854" width="13" bestFit="1" customWidth="1"/>
    <col min="14855" max="14855" width="11.28515625" customWidth="1"/>
    <col min="14856" max="14856" width="14.28515625" customWidth="1"/>
    <col min="14857" max="14857" width="12.7109375" customWidth="1"/>
    <col min="14858" max="14859" width="0" hidden="1" customWidth="1"/>
    <col min="14860" max="14860" width="8.5703125" customWidth="1"/>
    <col min="14861" max="14861" width="14.7109375" bestFit="1" customWidth="1"/>
    <col min="14862" max="14862" width="13.7109375" customWidth="1"/>
    <col min="14863" max="14863" width="16.28515625" bestFit="1" customWidth="1"/>
    <col min="14864" max="14864" width="14.85546875" customWidth="1"/>
    <col min="14865" max="14865" width="12.140625" customWidth="1"/>
    <col min="14866" max="14867" width="11.42578125" bestFit="1" customWidth="1"/>
    <col min="14868" max="14869" width="9.7109375" customWidth="1"/>
    <col min="14870" max="14870" width="15.85546875" customWidth="1"/>
    <col min="14871" max="14871" width="14.7109375" customWidth="1"/>
    <col min="14872" max="14872" width="14.85546875" customWidth="1"/>
    <col min="14873" max="14873" width="22.42578125" customWidth="1"/>
    <col min="14874" max="14874" width="2.85546875" customWidth="1"/>
    <col min="14875" max="14875" width="12.140625" bestFit="1" customWidth="1"/>
    <col min="14876" max="15087" width="9.140625" customWidth="1"/>
    <col min="15088" max="15088" width="4.42578125" customWidth="1"/>
    <col min="15089" max="15089" width="21.5703125" customWidth="1"/>
    <col min="15090" max="15090" width="17.28515625" customWidth="1"/>
    <col min="15091" max="15091" width="16.42578125" customWidth="1"/>
    <col min="15092" max="15092" width="9.85546875" customWidth="1"/>
    <col min="15093" max="15093" width="9.140625" customWidth="1"/>
    <col min="15094" max="15094" width="14.28515625" customWidth="1"/>
    <col min="15095" max="15095" width="8.42578125" customWidth="1"/>
    <col min="15096" max="15096" width="6.7109375" customWidth="1"/>
    <col min="15097" max="15097" width="7.42578125" customWidth="1"/>
    <col min="15105" max="15105" width="4.42578125" customWidth="1"/>
    <col min="15106" max="15106" width="7.42578125" customWidth="1"/>
    <col min="15107" max="15107" width="6.7109375" customWidth="1"/>
    <col min="15108" max="15108" width="26.42578125" customWidth="1"/>
    <col min="15109" max="15109" width="17.5703125" customWidth="1"/>
    <col min="15110" max="15110" width="13" bestFit="1" customWidth="1"/>
    <col min="15111" max="15111" width="11.28515625" customWidth="1"/>
    <col min="15112" max="15112" width="14.28515625" customWidth="1"/>
    <col min="15113" max="15113" width="12.7109375" customWidth="1"/>
    <col min="15114" max="15115" width="0" hidden="1" customWidth="1"/>
    <col min="15116" max="15116" width="8.5703125" customWidth="1"/>
    <col min="15117" max="15117" width="14.7109375" bestFit="1" customWidth="1"/>
    <col min="15118" max="15118" width="13.7109375" customWidth="1"/>
    <col min="15119" max="15119" width="16.28515625" bestFit="1" customWidth="1"/>
    <col min="15120" max="15120" width="14.85546875" customWidth="1"/>
    <col min="15121" max="15121" width="12.140625" customWidth="1"/>
    <col min="15122" max="15123" width="11.42578125" bestFit="1" customWidth="1"/>
    <col min="15124" max="15125" width="9.7109375" customWidth="1"/>
    <col min="15126" max="15126" width="15.85546875" customWidth="1"/>
    <col min="15127" max="15127" width="14.7109375" customWidth="1"/>
    <col min="15128" max="15128" width="14.85546875" customWidth="1"/>
    <col min="15129" max="15129" width="22.42578125" customWidth="1"/>
    <col min="15130" max="15130" width="2.85546875" customWidth="1"/>
    <col min="15131" max="15131" width="12.140625" bestFit="1" customWidth="1"/>
    <col min="15132" max="15343" width="9.140625" customWidth="1"/>
    <col min="15344" max="15344" width="4.42578125" customWidth="1"/>
    <col min="15345" max="15345" width="21.5703125" customWidth="1"/>
    <col min="15346" max="15346" width="17.28515625" customWidth="1"/>
    <col min="15347" max="15347" width="16.42578125" customWidth="1"/>
    <col min="15348" max="15348" width="9.85546875" customWidth="1"/>
    <col min="15349" max="15349" width="9.140625" customWidth="1"/>
    <col min="15350" max="15350" width="14.28515625" customWidth="1"/>
    <col min="15351" max="15351" width="8.42578125" customWidth="1"/>
    <col min="15352" max="15352" width="6.7109375" customWidth="1"/>
    <col min="15353" max="15353" width="7.42578125" customWidth="1"/>
    <col min="15361" max="15361" width="4.42578125" customWidth="1"/>
    <col min="15362" max="15362" width="7.42578125" customWidth="1"/>
    <col min="15363" max="15363" width="6.7109375" customWidth="1"/>
    <col min="15364" max="15364" width="26.42578125" customWidth="1"/>
    <col min="15365" max="15365" width="17.5703125" customWidth="1"/>
    <col min="15366" max="15366" width="13" bestFit="1" customWidth="1"/>
    <col min="15367" max="15367" width="11.28515625" customWidth="1"/>
    <col min="15368" max="15368" width="14.28515625" customWidth="1"/>
    <col min="15369" max="15369" width="12.7109375" customWidth="1"/>
    <col min="15370" max="15371" width="0" hidden="1" customWidth="1"/>
    <col min="15372" max="15372" width="8.5703125" customWidth="1"/>
    <col min="15373" max="15373" width="14.7109375" bestFit="1" customWidth="1"/>
    <col min="15374" max="15374" width="13.7109375" customWidth="1"/>
    <col min="15375" max="15375" width="16.28515625" bestFit="1" customWidth="1"/>
    <col min="15376" max="15376" width="14.85546875" customWidth="1"/>
    <col min="15377" max="15377" width="12.140625" customWidth="1"/>
    <col min="15378" max="15379" width="11.42578125" bestFit="1" customWidth="1"/>
    <col min="15380" max="15381" width="9.7109375" customWidth="1"/>
    <col min="15382" max="15382" width="15.85546875" customWidth="1"/>
    <col min="15383" max="15383" width="14.7109375" customWidth="1"/>
    <col min="15384" max="15384" width="14.85546875" customWidth="1"/>
    <col min="15385" max="15385" width="22.42578125" customWidth="1"/>
    <col min="15386" max="15386" width="2.85546875" customWidth="1"/>
    <col min="15387" max="15387" width="12.140625" bestFit="1" customWidth="1"/>
    <col min="15388" max="15599" width="9.140625" customWidth="1"/>
    <col min="15600" max="15600" width="4.42578125" customWidth="1"/>
    <col min="15601" max="15601" width="21.5703125" customWidth="1"/>
    <col min="15602" max="15602" width="17.28515625" customWidth="1"/>
    <col min="15603" max="15603" width="16.42578125" customWidth="1"/>
    <col min="15604" max="15604" width="9.85546875" customWidth="1"/>
    <col min="15605" max="15605" width="9.140625" customWidth="1"/>
    <col min="15606" max="15606" width="14.28515625" customWidth="1"/>
    <col min="15607" max="15607" width="8.42578125" customWidth="1"/>
    <col min="15608" max="15608" width="6.7109375" customWidth="1"/>
    <col min="15609" max="15609" width="7.42578125" customWidth="1"/>
    <col min="15617" max="15617" width="4.42578125" customWidth="1"/>
    <col min="15618" max="15618" width="7.42578125" customWidth="1"/>
    <col min="15619" max="15619" width="6.7109375" customWidth="1"/>
    <col min="15620" max="15620" width="26.42578125" customWidth="1"/>
    <col min="15621" max="15621" width="17.5703125" customWidth="1"/>
    <col min="15622" max="15622" width="13" bestFit="1" customWidth="1"/>
    <col min="15623" max="15623" width="11.28515625" customWidth="1"/>
    <col min="15624" max="15624" width="14.28515625" customWidth="1"/>
    <col min="15625" max="15625" width="12.7109375" customWidth="1"/>
    <col min="15626" max="15627" width="0" hidden="1" customWidth="1"/>
    <col min="15628" max="15628" width="8.5703125" customWidth="1"/>
    <col min="15629" max="15629" width="14.7109375" bestFit="1" customWidth="1"/>
    <col min="15630" max="15630" width="13.7109375" customWidth="1"/>
    <col min="15631" max="15631" width="16.28515625" bestFit="1" customWidth="1"/>
    <col min="15632" max="15632" width="14.85546875" customWidth="1"/>
    <col min="15633" max="15633" width="12.140625" customWidth="1"/>
    <col min="15634" max="15635" width="11.42578125" bestFit="1" customWidth="1"/>
    <col min="15636" max="15637" width="9.7109375" customWidth="1"/>
    <col min="15638" max="15638" width="15.85546875" customWidth="1"/>
    <col min="15639" max="15639" width="14.7109375" customWidth="1"/>
    <col min="15640" max="15640" width="14.85546875" customWidth="1"/>
    <col min="15641" max="15641" width="22.42578125" customWidth="1"/>
    <col min="15642" max="15642" width="2.85546875" customWidth="1"/>
    <col min="15643" max="15643" width="12.140625" bestFit="1" customWidth="1"/>
    <col min="15644" max="15855" width="9.140625" customWidth="1"/>
    <col min="15856" max="15856" width="4.42578125" customWidth="1"/>
    <col min="15857" max="15857" width="21.5703125" customWidth="1"/>
    <col min="15858" max="15858" width="17.28515625" customWidth="1"/>
    <col min="15859" max="15859" width="16.42578125" customWidth="1"/>
    <col min="15860" max="15860" width="9.85546875" customWidth="1"/>
    <col min="15861" max="15861" width="9.140625" customWidth="1"/>
    <col min="15862" max="15862" width="14.28515625" customWidth="1"/>
    <col min="15863" max="15863" width="8.42578125" customWidth="1"/>
    <col min="15864" max="15864" width="6.7109375" customWidth="1"/>
    <col min="15865" max="15865" width="7.42578125" customWidth="1"/>
    <col min="15873" max="15873" width="4.42578125" customWidth="1"/>
    <col min="15874" max="15874" width="7.42578125" customWidth="1"/>
    <col min="15875" max="15875" width="6.7109375" customWidth="1"/>
    <col min="15876" max="15876" width="26.42578125" customWidth="1"/>
    <col min="15877" max="15877" width="17.5703125" customWidth="1"/>
    <col min="15878" max="15878" width="13" bestFit="1" customWidth="1"/>
    <col min="15879" max="15879" width="11.28515625" customWidth="1"/>
    <col min="15880" max="15880" width="14.28515625" customWidth="1"/>
    <col min="15881" max="15881" width="12.7109375" customWidth="1"/>
    <col min="15882" max="15883" width="0" hidden="1" customWidth="1"/>
    <col min="15884" max="15884" width="8.5703125" customWidth="1"/>
    <col min="15885" max="15885" width="14.7109375" bestFit="1" customWidth="1"/>
    <col min="15886" max="15886" width="13.7109375" customWidth="1"/>
    <col min="15887" max="15887" width="16.28515625" bestFit="1" customWidth="1"/>
    <col min="15888" max="15888" width="14.85546875" customWidth="1"/>
    <col min="15889" max="15889" width="12.140625" customWidth="1"/>
    <col min="15890" max="15891" width="11.42578125" bestFit="1" customWidth="1"/>
    <col min="15892" max="15893" width="9.7109375" customWidth="1"/>
    <col min="15894" max="15894" width="15.85546875" customWidth="1"/>
    <col min="15895" max="15895" width="14.7109375" customWidth="1"/>
    <col min="15896" max="15896" width="14.85546875" customWidth="1"/>
    <col min="15897" max="15897" width="22.42578125" customWidth="1"/>
    <col min="15898" max="15898" width="2.85546875" customWidth="1"/>
    <col min="15899" max="15899" width="12.140625" bestFit="1" customWidth="1"/>
    <col min="15900" max="16111" width="9.140625" customWidth="1"/>
    <col min="16112" max="16112" width="4.42578125" customWidth="1"/>
    <col min="16113" max="16113" width="21.5703125" customWidth="1"/>
    <col min="16114" max="16114" width="17.28515625" customWidth="1"/>
    <col min="16115" max="16115" width="16.42578125" customWidth="1"/>
    <col min="16116" max="16116" width="9.85546875" customWidth="1"/>
    <col min="16117" max="16117" width="9.140625" customWidth="1"/>
    <col min="16118" max="16118" width="14.28515625" customWidth="1"/>
    <col min="16119" max="16119" width="8.42578125" customWidth="1"/>
    <col min="16120" max="16120" width="6.7109375" customWidth="1"/>
    <col min="16121" max="16121" width="7.42578125" customWidth="1"/>
    <col min="16129" max="16129" width="4.42578125" customWidth="1"/>
    <col min="16130" max="16130" width="7.42578125" customWidth="1"/>
    <col min="16131" max="16131" width="6.7109375" customWidth="1"/>
    <col min="16132" max="16132" width="26.42578125" customWidth="1"/>
    <col min="16133" max="16133" width="17.5703125" customWidth="1"/>
    <col min="16134" max="16134" width="13" bestFit="1" customWidth="1"/>
    <col min="16135" max="16135" width="11.28515625" customWidth="1"/>
    <col min="16136" max="16136" width="14.28515625" customWidth="1"/>
    <col min="16137" max="16137" width="12.7109375" customWidth="1"/>
    <col min="16138" max="16139" width="0" hidden="1" customWidth="1"/>
    <col min="16140" max="16140" width="8.5703125" customWidth="1"/>
    <col min="16141" max="16141" width="14.7109375" bestFit="1" customWidth="1"/>
    <col min="16142" max="16142" width="13.7109375" customWidth="1"/>
    <col min="16143" max="16143" width="16.28515625" bestFit="1" customWidth="1"/>
    <col min="16144" max="16144" width="14.85546875" customWidth="1"/>
    <col min="16145" max="16145" width="12.140625" customWidth="1"/>
    <col min="16146" max="16147" width="11.42578125" bestFit="1" customWidth="1"/>
    <col min="16148" max="16149" width="9.7109375" customWidth="1"/>
    <col min="16150" max="16150" width="15.85546875" customWidth="1"/>
    <col min="16151" max="16151" width="14.7109375" customWidth="1"/>
    <col min="16152" max="16152" width="14.85546875" customWidth="1"/>
    <col min="16153" max="16153" width="22.42578125" customWidth="1"/>
    <col min="16154" max="16154" width="2.85546875" customWidth="1"/>
    <col min="16155" max="16155" width="12.140625" bestFit="1" customWidth="1"/>
    <col min="16156" max="16367" width="9.140625" customWidth="1"/>
    <col min="16368" max="16368" width="4.42578125" customWidth="1"/>
    <col min="16369" max="16369" width="21.5703125" customWidth="1"/>
    <col min="16370" max="16370" width="17.28515625" customWidth="1"/>
    <col min="16371" max="16371" width="16.42578125" customWidth="1"/>
    <col min="16372" max="16372" width="9.85546875" customWidth="1"/>
    <col min="16373" max="16373" width="9.140625" customWidth="1"/>
    <col min="16374" max="16374" width="14.28515625" customWidth="1"/>
    <col min="16375" max="16375" width="8.42578125" customWidth="1"/>
    <col min="16376" max="16376" width="6.7109375" customWidth="1"/>
    <col min="16377" max="16377" width="7.42578125" customWidth="1"/>
  </cols>
  <sheetData>
    <row r="1" spans="1:27" x14ac:dyDescent="0.25">
      <c r="A1" s="24"/>
      <c r="B1" s="24"/>
      <c r="C1" s="25"/>
      <c r="D1" s="25"/>
      <c r="E1" s="24"/>
      <c r="F1" s="26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7" ht="20.25" x14ac:dyDescent="0.3">
      <c r="A2" s="27"/>
      <c r="B2" s="27"/>
      <c r="C2" s="28"/>
      <c r="D2" s="28"/>
      <c r="E2" s="149" t="s">
        <v>128</v>
      </c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27"/>
      <c r="S2" s="27"/>
      <c r="T2" s="27"/>
      <c r="U2" s="27"/>
      <c r="V2" s="27"/>
      <c r="W2" s="27"/>
      <c r="X2" s="27"/>
      <c r="Y2" s="27"/>
    </row>
    <row r="3" spans="1:27" ht="11.25" customHeight="1" x14ac:dyDescent="0.25">
      <c r="A3" s="24"/>
      <c r="B3" s="24"/>
      <c r="C3" s="25"/>
      <c r="D3" s="25"/>
      <c r="E3" s="24"/>
      <c r="F3" s="26"/>
      <c r="G3" s="24"/>
      <c r="H3" s="24"/>
      <c r="I3" s="29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 spans="1:27" x14ac:dyDescent="0.25">
      <c r="A4" s="24" t="s">
        <v>42</v>
      </c>
      <c r="B4" s="24"/>
      <c r="C4" s="25"/>
      <c r="D4" s="24" t="s">
        <v>92</v>
      </c>
      <c r="E4" s="24"/>
      <c r="F4" s="26"/>
      <c r="G4" s="24"/>
      <c r="H4" s="24"/>
      <c r="I4" s="29"/>
      <c r="J4" s="24"/>
      <c r="K4" s="24" t="s">
        <v>43</v>
      </c>
      <c r="L4" s="24"/>
      <c r="M4" s="24"/>
      <c r="N4" s="24"/>
      <c r="O4" s="24"/>
      <c r="P4" s="24"/>
      <c r="Q4" s="24"/>
      <c r="R4" s="24"/>
      <c r="S4" s="24"/>
      <c r="T4" s="24"/>
      <c r="V4" s="24" t="s">
        <v>44</v>
      </c>
      <c r="W4" s="24"/>
      <c r="X4" s="30">
        <v>46023</v>
      </c>
      <c r="Y4" s="24"/>
    </row>
    <row r="5" spans="1:27" x14ac:dyDescent="0.25">
      <c r="A5" s="24" t="s">
        <v>45</v>
      </c>
      <c r="B5" s="24"/>
      <c r="C5" s="25"/>
      <c r="D5" s="25"/>
      <c r="E5" s="24"/>
      <c r="F5" s="26"/>
      <c r="G5" s="24"/>
      <c r="H5" s="24"/>
      <c r="I5" s="29"/>
      <c r="J5" s="24"/>
      <c r="K5" s="24" t="s">
        <v>46</v>
      </c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 spans="1:27" x14ac:dyDescent="0.25">
      <c r="A6" s="24"/>
      <c r="B6" s="24"/>
      <c r="C6" s="25"/>
      <c r="D6" s="25"/>
      <c r="E6" s="24"/>
      <c r="F6" s="26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 spans="1:27" ht="12.75" customHeight="1" x14ac:dyDescent="0.25">
      <c r="A7" s="151" t="s">
        <v>47</v>
      </c>
      <c r="B7" s="154" t="s">
        <v>48</v>
      </c>
      <c r="C7" s="155"/>
      <c r="D7" s="155"/>
      <c r="E7" s="156"/>
      <c r="F7" s="98" t="s">
        <v>49</v>
      </c>
      <c r="G7" s="89"/>
      <c r="H7" s="89"/>
      <c r="I7" s="90"/>
      <c r="J7" s="88" t="s">
        <v>50</v>
      </c>
      <c r="K7" s="88" t="s">
        <v>51</v>
      </c>
      <c r="L7" s="31"/>
      <c r="M7" s="99" t="s">
        <v>52</v>
      </c>
      <c r="N7" s="99" t="s">
        <v>53</v>
      </c>
      <c r="O7" s="88" t="s">
        <v>54</v>
      </c>
      <c r="P7" s="100" t="s">
        <v>55</v>
      </c>
      <c r="Q7" s="89"/>
      <c r="R7" s="89"/>
      <c r="S7" s="89"/>
      <c r="T7" s="89"/>
      <c r="U7" s="90"/>
      <c r="V7" s="165" t="s">
        <v>56</v>
      </c>
      <c r="W7" s="169" t="s">
        <v>57</v>
      </c>
      <c r="X7" s="169" t="s">
        <v>126</v>
      </c>
      <c r="Y7" s="165" t="s">
        <v>59</v>
      </c>
    </row>
    <row r="8" spans="1:27" ht="12.75" customHeight="1" x14ac:dyDescent="0.25">
      <c r="A8" s="152"/>
      <c r="B8" s="157"/>
      <c r="C8" s="158"/>
      <c r="D8" s="158"/>
      <c r="E8" s="159"/>
      <c r="F8" s="91"/>
      <c r="G8" s="92"/>
      <c r="H8" s="92"/>
      <c r="I8" s="93"/>
      <c r="J8" s="32"/>
      <c r="K8" s="32"/>
      <c r="L8" s="32"/>
      <c r="M8" s="77"/>
      <c r="N8" s="77"/>
      <c r="O8" s="32"/>
      <c r="P8" s="91"/>
      <c r="Q8" s="92"/>
      <c r="R8" s="92"/>
      <c r="S8" s="92"/>
      <c r="T8" s="92"/>
      <c r="U8" s="93"/>
      <c r="V8" s="152"/>
      <c r="W8" s="152"/>
      <c r="X8" s="152"/>
      <c r="Y8" s="152"/>
    </row>
    <row r="9" spans="1:27" ht="21" customHeight="1" x14ac:dyDescent="0.25">
      <c r="A9" s="152"/>
      <c r="B9" s="151" t="s">
        <v>60</v>
      </c>
      <c r="C9" s="170" t="s">
        <v>61</v>
      </c>
      <c r="D9" s="33"/>
      <c r="E9" s="170" t="s">
        <v>116</v>
      </c>
      <c r="F9" s="171" t="s">
        <v>111</v>
      </c>
      <c r="G9" s="171" t="s">
        <v>112</v>
      </c>
      <c r="H9" s="171" t="s">
        <v>113</v>
      </c>
      <c r="I9" s="171" t="s">
        <v>117</v>
      </c>
      <c r="J9" s="171" t="s">
        <v>118</v>
      </c>
      <c r="K9" s="171" t="s">
        <v>119</v>
      </c>
      <c r="L9" s="185" t="s">
        <v>118</v>
      </c>
      <c r="M9" s="171" t="s">
        <v>39</v>
      </c>
      <c r="N9" s="171" t="s">
        <v>120</v>
      </c>
      <c r="O9" s="32"/>
      <c r="P9" s="101"/>
      <c r="Q9" s="101" t="s">
        <v>69</v>
      </c>
      <c r="R9" s="101" t="s">
        <v>70</v>
      </c>
      <c r="S9" s="101" t="s">
        <v>71</v>
      </c>
      <c r="T9" s="101" t="s">
        <v>72</v>
      </c>
      <c r="U9" s="102" t="s">
        <v>73</v>
      </c>
      <c r="V9" s="152"/>
      <c r="W9" s="152"/>
      <c r="X9" s="152"/>
      <c r="Y9" s="152"/>
    </row>
    <row r="10" spans="1:27" ht="21" customHeight="1" x14ac:dyDescent="0.25">
      <c r="A10" s="152"/>
      <c r="B10" s="152"/>
      <c r="C10" s="152"/>
      <c r="D10" s="32"/>
      <c r="E10" s="152"/>
      <c r="F10" s="183"/>
      <c r="G10" s="183"/>
      <c r="H10" s="183"/>
      <c r="I10" s="183"/>
      <c r="J10" s="183"/>
      <c r="K10" s="183"/>
      <c r="L10" s="186"/>
      <c r="M10" s="183"/>
      <c r="N10" s="183"/>
      <c r="O10" s="32"/>
      <c r="P10" s="32"/>
      <c r="Q10" s="32"/>
      <c r="R10" s="32"/>
      <c r="S10" s="32"/>
      <c r="T10" s="32"/>
      <c r="U10" s="103"/>
      <c r="V10" s="152"/>
      <c r="W10" s="152"/>
      <c r="X10" s="152"/>
      <c r="Y10" s="152"/>
    </row>
    <row r="11" spans="1:27" ht="21" customHeight="1" x14ac:dyDescent="0.25">
      <c r="A11" s="153"/>
      <c r="B11" s="153"/>
      <c r="C11" s="153"/>
      <c r="D11" s="34" t="s">
        <v>74</v>
      </c>
      <c r="E11" s="153"/>
      <c r="F11" s="184"/>
      <c r="G11" s="184"/>
      <c r="H11" s="184"/>
      <c r="I11" s="184"/>
      <c r="J11" s="184"/>
      <c r="K11" s="184"/>
      <c r="L11" s="187"/>
      <c r="M11" s="184"/>
      <c r="N11" s="184"/>
      <c r="O11" s="34"/>
      <c r="P11" s="34"/>
      <c r="Q11" s="34"/>
      <c r="R11" s="34"/>
      <c r="S11" s="34"/>
      <c r="T11" s="34"/>
      <c r="U11" s="104"/>
      <c r="V11" s="153"/>
      <c r="W11" s="153"/>
      <c r="X11" s="153"/>
      <c r="Y11" s="153"/>
    </row>
    <row r="12" spans="1:27" s="44" customFormat="1" ht="39.950000000000003" customHeight="1" x14ac:dyDescent="0.25">
      <c r="A12" s="35">
        <v>1</v>
      </c>
      <c r="B12" s="35"/>
      <c r="C12" s="36"/>
      <c r="D12" s="37" t="s">
        <v>85</v>
      </c>
      <c r="E12" s="48"/>
      <c r="F12" s="94">
        <v>305.82</v>
      </c>
      <c r="G12" s="95">
        <v>3211.07</v>
      </c>
      <c r="H12" s="94">
        <v>2294.29</v>
      </c>
      <c r="I12" s="96">
        <v>3517.35</v>
      </c>
      <c r="J12" s="96"/>
      <c r="K12" s="96"/>
      <c r="L12" s="105">
        <v>6997.33</v>
      </c>
      <c r="M12" s="96">
        <f>F12+G12+H12+I12</f>
        <v>9328.5300000000007</v>
      </c>
      <c r="N12" s="96">
        <f>L12-M12</f>
        <v>-2331.2000000000007</v>
      </c>
      <c r="O12" s="97"/>
      <c r="P12" s="96"/>
      <c r="Q12" s="96"/>
      <c r="R12" s="50"/>
      <c r="S12" s="39"/>
      <c r="T12" s="39"/>
      <c r="U12" s="39"/>
      <c r="V12" s="39"/>
      <c r="W12" s="39"/>
      <c r="X12" s="43"/>
      <c r="Y12" s="39"/>
    </row>
    <row r="13" spans="1:27" s="44" customFormat="1" ht="39.950000000000003" customHeight="1" x14ac:dyDescent="0.25">
      <c r="A13" s="35">
        <v>2</v>
      </c>
      <c r="B13" s="45"/>
      <c r="C13" s="46"/>
      <c r="D13" s="47" t="s">
        <v>86</v>
      </c>
      <c r="E13" s="48"/>
      <c r="F13" s="96">
        <v>218.44</v>
      </c>
      <c r="G13" s="49">
        <v>2293.62</v>
      </c>
      <c r="H13" s="96">
        <v>1638.3</v>
      </c>
      <c r="I13" s="96">
        <v>2512.06</v>
      </c>
      <c r="J13" s="96"/>
      <c r="K13" s="96"/>
      <c r="L13" s="105">
        <v>4998.09</v>
      </c>
      <c r="M13" s="96">
        <f t="shared" ref="M13:M25" si="0">F13+G13+H13+I13</f>
        <v>6662.42</v>
      </c>
      <c r="N13" s="96">
        <f t="shared" ref="N13:N25" si="1">L13-M13</f>
        <v>-1664.33</v>
      </c>
      <c r="O13" s="97"/>
      <c r="P13" s="96"/>
      <c r="Q13" s="96"/>
      <c r="R13" s="50"/>
      <c r="S13" s="39"/>
      <c r="T13" s="39"/>
      <c r="U13" s="39"/>
      <c r="V13" s="39"/>
      <c r="W13" s="39"/>
      <c r="X13" s="43"/>
      <c r="Y13" s="39"/>
    </row>
    <row r="14" spans="1:27" s="44" customFormat="1" ht="39.950000000000003" customHeight="1" x14ac:dyDescent="0.25">
      <c r="A14" s="35">
        <v>4</v>
      </c>
      <c r="B14" s="45" t="s">
        <v>78</v>
      </c>
      <c r="C14" s="46"/>
      <c r="D14" s="51" t="s">
        <v>101</v>
      </c>
      <c r="E14" s="56"/>
      <c r="F14" s="96">
        <v>218.44</v>
      </c>
      <c r="G14" s="49">
        <v>2293.62</v>
      </c>
      <c r="H14" s="96">
        <v>1638.3</v>
      </c>
      <c r="I14" s="96">
        <v>2512.06</v>
      </c>
      <c r="J14" s="96"/>
      <c r="K14" s="96"/>
      <c r="L14" s="105">
        <v>4830.38</v>
      </c>
      <c r="M14" s="96">
        <f t="shared" si="0"/>
        <v>6662.42</v>
      </c>
      <c r="N14" s="96">
        <f t="shared" si="1"/>
        <v>-1832.04</v>
      </c>
      <c r="O14" s="97"/>
      <c r="P14" s="96"/>
      <c r="Q14" s="96"/>
      <c r="R14" s="53"/>
      <c r="S14" s="39"/>
      <c r="T14" s="39"/>
      <c r="U14" s="39"/>
      <c r="V14" s="39"/>
      <c r="W14" s="39"/>
      <c r="X14" s="43"/>
      <c r="Y14" s="40"/>
      <c r="AA14" s="52"/>
    </row>
    <row r="15" spans="1:27" s="44" customFormat="1" ht="39.950000000000003" customHeight="1" x14ac:dyDescent="0.25">
      <c r="A15" s="35">
        <v>5</v>
      </c>
      <c r="B15" s="45" t="s">
        <v>94</v>
      </c>
      <c r="C15" s="54"/>
      <c r="D15" s="55" t="s">
        <v>102</v>
      </c>
      <c r="E15" s="56" t="s">
        <v>121</v>
      </c>
      <c r="F15" s="96">
        <v>218.44</v>
      </c>
      <c r="G15" s="49">
        <v>2293.62</v>
      </c>
      <c r="H15" s="96">
        <v>1638.3</v>
      </c>
      <c r="I15" s="96">
        <v>2512.06</v>
      </c>
      <c r="J15" s="96"/>
      <c r="K15" s="96"/>
      <c r="L15" s="105">
        <v>4830.38</v>
      </c>
      <c r="M15" s="96">
        <f t="shared" si="0"/>
        <v>6662.42</v>
      </c>
      <c r="N15" s="96">
        <f t="shared" si="1"/>
        <v>-1832.04</v>
      </c>
      <c r="O15" s="97"/>
      <c r="P15" s="64"/>
      <c r="Q15" s="96"/>
      <c r="R15" s="53"/>
      <c r="S15" s="39"/>
      <c r="T15" s="39"/>
      <c r="U15" s="39"/>
      <c r="V15" s="39"/>
      <c r="W15" s="39"/>
      <c r="X15" s="43"/>
      <c r="Y15" s="40"/>
      <c r="AA15" s="52"/>
    </row>
    <row r="16" spans="1:27" s="44" customFormat="1" ht="39.950000000000003" customHeight="1" x14ac:dyDescent="0.25">
      <c r="A16" s="35">
        <v>6</v>
      </c>
      <c r="B16" s="45" t="s">
        <v>95</v>
      </c>
      <c r="C16" s="54"/>
      <c r="D16" s="55" t="s">
        <v>103</v>
      </c>
      <c r="E16" s="56" t="s">
        <v>122</v>
      </c>
      <c r="F16" s="96">
        <v>218.44</v>
      </c>
      <c r="G16" s="49">
        <v>2293.62</v>
      </c>
      <c r="H16" s="96">
        <v>1638.3</v>
      </c>
      <c r="I16" s="96">
        <v>2512.06</v>
      </c>
      <c r="J16" s="96"/>
      <c r="K16" s="96"/>
      <c r="L16" s="105">
        <v>4830.38</v>
      </c>
      <c r="M16" s="96">
        <f t="shared" si="0"/>
        <v>6662.42</v>
      </c>
      <c r="N16" s="96">
        <f t="shared" si="1"/>
        <v>-1832.04</v>
      </c>
      <c r="O16" s="97"/>
      <c r="P16" s="64"/>
      <c r="Q16" s="96"/>
      <c r="R16" s="53"/>
      <c r="S16" s="39"/>
      <c r="T16" s="39"/>
      <c r="U16" s="39"/>
      <c r="V16" s="39"/>
      <c r="W16" s="39"/>
      <c r="X16" s="43"/>
      <c r="Y16" s="40"/>
    </row>
    <row r="17" spans="1:27" s="44" customFormat="1" ht="39.950000000000003" customHeight="1" x14ac:dyDescent="0.25">
      <c r="A17" s="35">
        <v>7</v>
      </c>
      <c r="B17" s="45" t="s">
        <v>96</v>
      </c>
      <c r="C17" s="54"/>
      <c r="D17" s="55" t="s">
        <v>87</v>
      </c>
      <c r="E17" s="56" t="s">
        <v>123</v>
      </c>
      <c r="F17" s="96">
        <v>218.44</v>
      </c>
      <c r="G17" s="49">
        <v>2293.62</v>
      </c>
      <c r="H17" s="96">
        <v>1638.3</v>
      </c>
      <c r="I17" s="96">
        <v>2512.06</v>
      </c>
      <c r="J17" s="96"/>
      <c r="K17" s="96"/>
      <c r="L17" s="105">
        <v>4830.38</v>
      </c>
      <c r="M17" s="96">
        <f t="shared" si="0"/>
        <v>6662.42</v>
      </c>
      <c r="N17" s="96">
        <f t="shared" si="1"/>
        <v>-1832.04</v>
      </c>
      <c r="O17" s="97"/>
      <c r="P17" s="64"/>
      <c r="Q17" s="96"/>
      <c r="R17" s="53"/>
      <c r="S17" s="39"/>
      <c r="T17" s="39"/>
      <c r="U17" s="39"/>
      <c r="V17" s="39"/>
      <c r="W17" s="39"/>
      <c r="X17" s="43"/>
      <c r="Y17" s="40"/>
    </row>
    <row r="18" spans="1:27" s="44" customFormat="1" ht="39.950000000000003" customHeight="1" x14ac:dyDescent="0.25">
      <c r="A18" s="35">
        <v>8</v>
      </c>
      <c r="B18" s="45" t="s">
        <v>97</v>
      </c>
      <c r="C18" s="54"/>
      <c r="D18" s="55" t="s">
        <v>104</v>
      </c>
      <c r="E18" s="56" t="s">
        <v>121</v>
      </c>
      <c r="F18" s="96">
        <v>218.44</v>
      </c>
      <c r="G18" s="49">
        <v>2293.62</v>
      </c>
      <c r="H18" s="96">
        <v>1638.3</v>
      </c>
      <c r="I18" s="96">
        <v>2512.06</v>
      </c>
      <c r="J18" s="96"/>
      <c r="K18" s="96"/>
      <c r="L18" s="105">
        <v>4830.38</v>
      </c>
      <c r="M18" s="96">
        <f t="shared" si="0"/>
        <v>6662.42</v>
      </c>
      <c r="N18" s="96">
        <f t="shared" si="1"/>
        <v>-1832.04</v>
      </c>
      <c r="O18" s="41"/>
      <c r="P18" s="64"/>
      <c r="Q18" s="39"/>
      <c r="R18" s="53"/>
      <c r="S18" s="39"/>
      <c r="T18" s="39"/>
      <c r="U18" s="39"/>
      <c r="V18" s="39"/>
      <c r="W18" s="39"/>
      <c r="X18" s="43"/>
      <c r="Y18" s="40"/>
    </row>
    <row r="19" spans="1:27" s="44" customFormat="1" ht="39.950000000000003" customHeight="1" x14ac:dyDescent="0.25">
      <c r="A19" s="35">
        <v>9</v>
      </c>
      <c r="B19" s="45" t="s">
        <v>98</v>
      </c>
      <c r="C19" s="54"/>
      <c r="D19" s="55" t="s">
        <v>105</v>
      </c>
      <c r="E19" s="56" t="s">
        <v>122</v>
      </c>
      <c r="F19" s="96">
        <v>436.88</v>
      </c>
      <c r="G19" s="49">
        <v>4587.24</v>
      </c>
      <c r="H19" s="96">
        <v>3276.6</v>
      </c>
      <c r="I19" s="96">
        <v>5024</v>
      </c>
      <c r="J19" s="39"/>
      <c r="K19" s="39"/>
      <c r="L19" s="106">
        <v>11468</v>
      </c>
      <c r="M19" s="96">
        <f t="shared" si="0"/>
        <v>13324.72</v>
      </c>
      <c r="N19" s="96">
        <f t="shared" si="1"/>
        <v>-1856.7199999999993</v>
      </c>
      <c r="O19" s="41"/>
      <c r="P19" s="40"/>
      <c r="Q19" s="39"/>
      <c r="R19" s="39"/>
      <c r="S19" s="39"/>
      <c r="T19" s="39"/>
      <c r="U19" s="39"/>
      <c r="V19" s="39"/>
      <c r="W19" s="39"/>
      <c r="X19" s="43"/>
      <c r="Y19" s="40"/>
    </row>
    <row r="20" spans="1:27" s="44" customFormat="1" ht="39.950000000000003" customHeight="1" x14ac:dyDescent="0.25">
      <c r="A20" s="35">
        <v>10</v>
      </c>
      <c r="B20" s="45" t="s">
        <v>99</v>
      </c>
      <c r="C20" s="54"/>
      <c r="D20" s="55" t="s">
        <v>106</v>
      </c>
      <c r="E20" s="56" t="s">
        <v>124</v>
      </c>
      <c r="F20" s="96">
        <v>436.88</v>
      </c>
      <c r="G20" s="49">
        <v>4587.24</v>
      </c>
      <c r="H20" s="96">
        <v>3276.6</v>
      </c>
      <c r="I20" s="96">
        <v>5024</v>
      </c>
      <c r="J20" s="39"/>
      <c r="K20" s="39"/>
      <c r="L20" s="106">
        <v>11468</v>
      </c>
      <c r="M20" s="96">
        <f t="shared" si="0"/>
        <v>13324.72</v>
      </c>
      <c r="N20" s="96">
        <f t="shared" si="1"/>
        <v>-1856.7199999999993</v>
      </c>
      <c r="O20" s="41"/>
      <c r="P20" s="40"/>
      <c r="Q20" s="39"/>
      <c r="R20" s="39"/>
      <c r="S20" s="39"/>
      <c r="T20" s="39"/>
      <c r="U20" s="39"/>
      <c r="V20" s="39"/>
      <c r="W20" s="39"/>
      <c r="X20" s="43"/>
      <c r="Y20" s="40"/>
    </row>
    <row r="21" spans="1:27" s="44" customFormat="1" ht="39.950000000000003" customHeight="1" x14ac:dyDescent="0.25">
      <c r="A21" s="35">
        <v>11</v>
      </c>
      <c r="B21" s="45" t="s">
        <v>100</v>
      </c>
      <c r="C21" s="54"/>
      <c r="D21" s="55" t="s">
        <v>107</v>
      </c>
      <c r="E21" s="56" t="s">
        <v>125</v>
      </c>
      <c r="F21" s="107"/>
      <c r="G21" s="108">
        <v>1529.08</v>
      </c>
      <c r="H21" s="109">
        <v>1310.6400000000001</v>
      </c>
      <c r="I21" s="107">
        <v>1419.86</v>
      </c>
      <c r="J21" s="110"/>
      <c r="K21" s="110"/>
      <c r="L21" s="111">
        <v>3440.4</v>
      </c>
      <c r="M21" s="107">
        <f t="shared" si="0"/>
        <v>4259.58</v>
      </c>
      <c r="N21" s="107">
        <f t="shared" si="1"/>
        <v>-819.17999999999984</v>
      </c>
      <c r="O21" s="41"/>
      <c r="P21" s="40"/>
      <c r="Q21" s="39"/>
      <c r="R21" s="39"/>
      <c r="S21" s="39"/>
      <c r="T21" s="39"/>
      <c r="U21" s="39"/>
      <c r="V21" s="39"/>
      <c r="W21" s="39"/>
      <c r="X21" s="43"/>
      <c r="Y21" s="40"/>
    </row>
    <row r="22" spans="1:27" s="44" customFormat="1" ht="39.950000000000003" customHeight="1" x14ac:dyDescent="0.25">
      <c r="A22" s="35">
        <v>12</v>
      </c>
      <c r="B22" s="45"/>
      <c r="C22" s="54"/>
      <c r="D22" s="55" t="s">
        <v>108</v>
      </c>
      <c r="E22" s="56" t="s">
        <v>125</v>
      </c>
      <c r="F22" s="96">
        <v>218.44</v>
      </c>
      <c r="G22" s="49">
        <v>764.54</v>
      </c>
      <c r="H22" s="61">
        <v>873.76</v>
      </c>
      <c r="I22" s="96">
        <v>1092.2</v>
      </c>
      <c r="J22" s="39"/>
      <c r="K22" s="39"/>
      <c r="L22" s="106">
        <v>2293.6</v>
      </c>
      <c r="M22" s="96">
        <f t="shared" si="0"/>
        <v>2948.94</v>
      </c>
      <c r="N22" s="96">
        <f t="shared" si="1"/>
        <v>-655.34000000000015</v>
      </c>
      <c r="O22" s="41"/>
      <c r="P22" s="40"/>
      <c r="Q22" s="39"/>
      <c r="R22" s="39"/>
      <c r="S22" s="39"/>
      <c r="T22" s="39"/>
      <c r="U22" s="39"/>
      <c r="V22" s="39"/>
      <c r="W22" s="39"/>
      <c r="X22" s="43"/>
      <c r="Y22" s="40"/>
    </row>
    <row r="23" spans="1:27" s="44" customFormat="1" ht="39.950000000000003" customHeight="1" x14ac:dyDescent="0.25">
      <c r="A23" s="35">
        <v>13</v>
      </c>
      <c r="B23" s="45"/>
      <c r="C23" s="54"/>
      <c r="D23" s="55" t="s">
        <v>109</v>
      </c>
      <c r="E23" s="56" t="s">
        <v>121</v>
      </c>
      <c r="F23" s="96">
        <v>218.44</v>
      </c>
      <c r="G23" s="49">
        <v>2184.4</v>
      </c>
      <c r="H23" s="61">
        <v>1092.2</v>
      </c>
      <c r="I23" s="96">
        <v>2512.06</v>
      </c>
      <c r="J23" s="39"/>
      <c r="K23" s="39"/>
      <c r="L23" s="106">
        <v>5734</v>
      </c>
      <c r="M23" s="96">
        <f t="shared" si="0"/>
        <v>6007.1</v>
      </c>
      <c r="N23" s="96">
        <f t="shared" si="1"/>
        <v>-273.10000000000036</v>
      </c>
      <c r="O23" s="41"/>
      <c r="P23" s="40"/>
      <c r="Q23" s="39"/>
      <c r="R23" s="39"/>
      <c r="S23" s="39"/>
      <c r="T23" s="39"/>
      <c r="U23" s="39"/>
      <c r="V23" s="39"/>
      <c r="W23" s="39"/>
      <c r="X23" s="43"/>
      <c r="Y23" s="40"/>
    </row>
    <row r="24" spans="1:27" s="44" customFormat="1" ht="39.950000000000003" customHeight="1" x14ac:dyDescent="0.25">
      <c r="A24" s="35">
        <v>14</v>
      </c>
      <c r="B24" s="45"/>
      <c r="C24" s="57"/>
      <c r="D24" s="60" t="s">
        <v>88</v>
      </c>
      <c r="E24" s="56"/>
      <c r="F24" s="61">
        <v>87.38</v>
      </c>
      <c r="G24" s="49">
        <v>917.45</v>
      </c>
      <c r="H24" s="61">
        <v>655.32000000000005</v>
      </c>
      <c r="I24" s="39">
        <v>504.82</v>
      </c>
      <c r="J24" s="39"/>
      <c r="K24" s="39"/>
      <c r="L24" s="106">
        <v>2324.1799999999998</v>
      </c>
      <c r="M24" s="96">
        <f t="shared" si="0"/>
        <v>2164.9700000000003</v>
      </c>
      <c r="N24" s="96">
        <f t="shared" si="1"/>
        <v>159.20999999999958</v>
      </c>
      <c r="O24" s="41"/>
      <c r="P24" s="39"/>
      <c r="Q24" s="39"/>
      <c r="R24" s="39"/>
      <c r="S24" s="39"/>
      <c r="T24" s="39"/>
      <c r="U24" s="39"/>
      <c r="V24" s="39"/>
      <c r="W24" s="39"/>
      <c r="X24" s="43"/>
      <c r="Y24" s="45"/>
      <c r="Z24" s="59"/>
      <c r="AA24" s="52"/>
    </row>
    <row r="25" spans="1:27" s="44" customFormat="1" ht="39.950000000000003" customHeight="1" x14ac:dyDescent="0.25">
      <c r="A25" s="35">
        <v>15</v>
      </c>
      <c r="B25" s="45"/>
      <c r="C25" s="62"/>
      <c r="D25" s="58" t="s">
        <v>89</v>
      </c>
      <c r="E25" s="56"/>
      <c r="F25" s="61">
        <v>174.75</v>
      </c>
      <c r="G25" s="49">
        <v>1834.9</v>
      </c>
      <c r="H25" s="61">
        <v>1310.6400000000001</v>
      </c>
      <c r="I25" s="39">
        <v>2009.65</v>
      </c>
      <c r="J25" s="39"/>
      <c r="K25" s="39"/>
      <c r="L25" s="106">
        <v>5045.96</v>
      </c>
      <c r="M25" s="96">
        <f t="shared" si="0"/>
        <v>5329.9400000000005</v>
      </c>
      <c r="N25" s="96">
        <f t="shared" si="1"/>
        <v>-283.98000000000047</v>
      </c>
      <c r="O25" s="41"/>
      <c r="P25" s="39"/>
      <c r="Q25" s="39"/>
      <c r="R25" s="39"/>
      <c r="S25" s="39"/>
      <c r="T25" s="39"/>
      <c r="U25" s="39"/>
      <c r="V25" s="39"/>
      <c r="W25" s="39"/>
      <c r="X25" s="43"/>
      <c r="Y25" s="45"/>
      <c r="Z25" s="59"/>
    </row>
    <row r="26" spans="1:27" s="44" customFormat="1" ht="39.950000000000003" customHeight="1" x14ac:dyDescent="0.25">
      <c r="A26" s="45"/>
      <c r="B26" s="45"/>
      <c r="C26" s="49" t="s">
        <v>39</v>
      </c>
      <c r="D26" s="49"/>
      <c r="E26" s="49"/>
      <c r="F26" s="63">
        <f t="shared" ref="F26:N26" si="2">SUM(F12:F25)</f>
        <v>3189.2300000000005</v>
      </c>
      <c r="G26" s="63">
        <f t="shared" si="2"/>
        <v>33377.64</v>
      </c>
      <c r="H26" s="63">
        <f t="shared" si="2"/>
        <v>23919.849999999995</v>
      </c>
      <c r="I26" s="63">
        <f t="shared" si="2"/>
        <v>36176.300000000003</v>
      </c>
      <c r="J26" s="63">
        <f t="shared" si="2"/>
        <v>0</v>
      </c>
      <c r="K26" s="63">
        <f t="shared" si="2"/>
        <v>0</v>
      </c>
      <c r="L26" s="63">
        <f t="shared" si="2"/>
        <v>77921.460000000006</v>
      </c>
      <c r="M26" s="63">
        <f t="shared" si="2"/>
        <v>96663.02</v>
      </c>
      <c r="N26" s="63">
        <f t="shared" si="2"/>
        <v>-18741.560000000001</v>
      </c>
      <c r="O26" s="63"/>
      <c r="P26" s="63">
        <f t="shared" ref="P26:X26" si="3">SUM(P12:P25)</f>
        <v>0</v>
      </c>
      <c r="Q26" s="63">
        <f t="shared" si="3"/>
        <v>0</v>
      </c>
      <c r="R26" s="63">
        <f t="shared" si="3"/>
        <v>0</v>
      </c>
      <c r="S26" s="63">
        <f t="shared" si="3"/>
        <v>0</v>
      </c>
      <c r="T26" s="63">
        <f t="shared" si="3"/>
        <v>0</v>
      </c>
      <c r="U26" s="63">
        <f t="shared" si="3"/>
        <v>0</v>
      </c>
      <c r="V26" s="63">
        <f t="shared" si="3"/>
        <v>0</v>
      </c>
      <c r="W26" s="63">
        <f t="shared" si="3"/>
        <v>0</v>
      </c>
      <c r="X26" s="63">
        <f t="shared" si="3"/>
        <v>0</v>
      </c>
      <c r="Y26" s="64"/>
    </row>
    <row r="27" spans="1:27" s="44" customFormat="1" ht="24.95" customHeight="1" x14ac:dyDescent="0.2">
      <c r="A27" s="59"/>
      <c r="B27" s="59"/>
      <c r="C27" s="65"/>
      <c r="D27" s="66"/>
      <c r="E27" s="67"/>
      <c r="F27" s="52"/>
      <c r="G27" s="68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8"/>
      <c r="Y27" s="66"/>
    </row>
    <row r="28" spans="1:27" s="66" customFormat="1" ht="24.95" customHeight="1" x14ac:dyDescent="0.2">
      <c r="C28" s="59"/>
      <c r="D28" s="59"/>
      <c r="E28" s="174" t="s">
        <v>127</v>
      </c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52"/>
      <c r="Y28" s="59"/>
    </row>
    <row r="29" spans="1:27" s="44" customFormat="1" ht="24.95" customHeight="1" x14ac:dyDescent="0.2">
      <c r="A29" s="59"/>
      <c r="B29" s="59"/>
      <c r="C29" s="59"/>
      <c r="D29" s="59"/>
      <c r="E29" s="59" t="s">
        <v>82</v>
      </c>
      <c r="F29" s="52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</row>
    <row r="30" spans="1:27" s="44" customFormat="1" ht="24.95" customHeight="1" x14ac:dyDescent="0.2">
      <c r="A30" s="59"/>
      <c r="B30" s="59"/>
      <c r="C30" s="59"/>
      <c r="D30" s="59"/>
      <c r="E30" s="59" t="s">
        <v>83</v>
      </c>
      <c r="F30" s="52" t="s">
        <v>90</v>
      </c>
      <c r="G30" s="59"/>
      <c r="H30" s="59"/>
      <c r="I30" s="59"/>
      <c r="J30" s="59"/>
      <c r="K30" s="59"/>
      <c r="L30" s="174"/>
      <c r="M30" s="174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</row>
    <row r="31" spans="1:27" s="44" customFormat="1" ht="24.95" customHeight="1" x14ac:dyDescent="0.2">
      <c r="A31" s="59"/>
      <c r="B31" s="59"/>
      <c r="C31" s="59"/>
      <c r="D31" s="59"/>
      <c r="E31" s="59" t="s">
        <v>84</v>
      </c>
      <c r="F31" s="52"/>
      <c r="G31" s="59"/>
      <c r="H31" s="59"/>
      <c r="I31" s="59"/>
      <c r="J31" s="174" t="s">
        <v>129</v>
      </c>
      <c r="K31" s="182"/>
      <c r="L31" s="182"/>
      <c r="M31" s="182"/>
      <c r="N31" s="59"/>
      <c r="O31" s="59"/>
      <c r="P31" s="59"/>
      <c r="Q31" s="59"/>
      <c r="R31" s="59"/>
      <c r="S31" s="174" t="s">
        <v>91</v>
      </c>
      <c r="T31" s="174"/>
      <c r="U31" s="174"/>
      <c r="V31" s="174"/>
      <c r="W31" s="69"/>
      <c r="X31" s="59"/>
      <c r="Y31" s="59"/>
    </row>
    <row r="32" spans="1:27" s="44" customFormat="1" ht="24.95" customHeight="1" x14ac:dyDescent="0.2">
      <c r="A32" s="59"/>
      <c r="B32" s="59"/>
      <c r="C32" s="65"/>
      <c r="D32" s="65"/>
      <c r="E32" s="59"/>
      <c r="F32" s="174" t="s">
        <v>33</v>
      </c>
      <c r="G32" s="174"/>
      <c r="H32" s="59"/>
      <c r="I32" s="59"/>
      <c r="J32" s="174" t="s">
        <v>33</v>
      </c>
      <c r="K32" s="175"/>
      <c r="L32" s="174"/>
      <c r="M32" s="174"/>
      <c r="N32" s="59"/>
      <c r="O32" s="59"/>
      <c r="P32" s="59"/>
      <c r="Q32" s="59"/>
      <c r="R32" s="59"/>
      <c r="S32" s="174" t="s">
        <v>75</v>
      </c>
      <c r="T32" s="174"/>
      <c r="U32" s="174"/>
      <c r="V32" s="174"/>
      <c r="W32" s="69"/>
      <c r="X32" s="59"/>
      <c r="Y32" s="59"/>
    </row>
  </sheetData>
  <mergeCells count="26">
    <mergeCell ref="E2:Q2"/>
    <mergeCell ref="A7:A11"/>
    <mergeCell ref="B7:E8"/>
    <mergeCell ref="V7:V11"/>
    <mergeCell ref="W7:W11"/>
    <mergeCell ref="L9:L11"/>
    <mergeCell ref="M9:M11"/>
    <mergeCell ref="N9:N11"/>
    <mergeCell ref="Y7:Y11"/>
    <mergeCell ref="B9:B11"/>
    <mergeCell ref="C9:C11"/>
    <mergeCell ref="E9:E11"/>
    <mergeCell ref="F9:F11"/>
    <mergeCell ref="G9:G11"/>
    <mergeCell ref="H9:H11"/>
    <mergeCell ref="I9:I11"/>
    <mergeCell ref="J9:J11"/>
    <mergeCell ref="K9:K11"/>
    <mergeCell ref="X7:X11"/>
    <mergeCell ref="J31:M31"/>
    <mergeCell ref="S31:V31"/>
    <mergeCell ref="J32:M32"/>
    <mergeCell ref="S32:V32"/>
    <mergeCell ref="E28:W28"/>
    <mergeCell ref="F32:G32"/>
    <mergeCell ref="L30:M30"/>
  </mergeCells>
  <pageMargins left="0.7" right="0.7" top="0.75" bottom="0.75" header="0.3" footer="0.3"/>
  <pageSetup paperSize="9" scale="39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I4:M29"/>
  <sheetViews>
    <sheetView workbookViewId="0">
      <selection activeCell="I18" sqref="I18:M29"/>
    </sheetView>
  </sheetViews>
  <sheetFormatPr defaultRowHeight="15" x14ac:dyDescent="0.25"/>
  <cols>
    <col min="9" max="9" width="18" customWidth="1"/>
    <col min="10" max="10" width="13" customWidth="1"/>
    <col min="11" max="11" width="17.140625" customWidth="1"/>
    <col min="12" max="12" width="12.140625" customWidth="1"/>
    <col min="13" max="13" width="16" customWidth="1"/>
  </cols>
  <sheetData>
    <row r="4" spans="9:13" x14ac:dyDescent="0.25">
      <c r="I4" s="189" t="s">
        <v>110</v>
      </c>
      <c r="J4" s="189"/>
      <c r="K4" s="189"/>
      <c r="L4" s="189"/>
      <c r="M4" s="189"/>
    </row>
    <row r="5" spans="9:13" x14ac:dyDescent="0.25">
      <c r="I5" s="188"/>
      <c r="J5" s="188"/>
      <c r="K5" s="188"/>
      <c r="L5" s="188"/>
      <c r="M5" s="188"/>
    </row>
    <row r="6" spans="9:13" x14ac:dyDescent="0.25">
      <c r="I6" s="77"/>
      <c r="J6" s="77" t="s">
        <v>111</v>
      </c>
      <c r="K6" s="77" t="s">
        <v>112</v>
      </c>
      <c r="L6" s="77" t="s">
        <v>113</v>
      </c>
      <c r="M6" s="77" t="s">
        <v>39</v>
      </c>
    </row>
    <row r="7" spans="9:13" ht="15.75" x14ac:dyDescent="0.25">
      <c r="I7" s="84" t="s">
        <v>85</v>
      </c>
      <c r="J7" s="81">
        <v>396.77714649999996</v>
      </c>
      <c r="K7" s="82">
        <v>4166.1610762</v>
      </c>
      <c r="L7" s="82">
        <v>2975.9064450000001</v>
      </c>
      <c r="M7" s="83">
        <f t="shared" ref="M7:M12" si="0">SUM(J7:L7)</f>
        <v>7538.8446676999993</v>
      </c>
    </row>
    <row r="8" spans="9:13" ht="15.75" x14ac:dyDescent="0.25">
      <c r="I8" s="85" t="s">
        <v>86</v>
      </c>
      <c r="J8" s="81">
        <v>283.41224750000003</v>
      </c>
      <c r="K8" s="82">
        <v>2975.8296366999998</v>
      </c>
      <c r="L8" s="82">
        <v>2125.5928941999996</v>
      </c>
      <c r="M8" s="83">
        <f t="shared" si="0"/>
        <v>5384.8347783999998</v>
      </c>
    </row>
    <row r="9" spans="9:13" ht="15.75" x14ac:dyDescent="0.25">
      <c r="I9" s="86" t="s">
        <v>101</v>
      </c>
      <c r="J9" s="81">
        <v>283.41017160000001</v>
      </c>
      <c r="K9" s="82">
        <v>2975.8068018000004</v>
      </c>
      <c r="L9" s="82">
        <v>2125.5762869999999</v>
      </c>
      <c r="M9" s="83">
        <f t="shared" si="0"/>
        <v>5384.7932603999998</v>
      </c>
    </row>
    <row r="10" spans="9:13" ht="15.75" x14ac:dyDescent="0.25">
      <c r="I10" s="87" t="s">
        <v>102</v>
      </c>
      <c r="J10" s="81">
        <v>283.41017160000001</v>
      </c>
      <c r="K10" s="82">
        <v>2975.8068018000004</v>
      </c>
      <c r="L10" s="82">
        <v>2125.5762869999999</v>
      </c>
      <c r="M10" s="83">
        <f t="shared" si="0"/>
        <v>5384.7932603999998</v>
      </c>
    </row>
    <row r="11" spans="9:13" ht="15.75" x14ac:dyDescent="0.25">
      <c r="I11" s="87" t="s">
        <v>103</v>
      </c>
      <c r="J11" s="81">
        <v>283.41017160000001</v>
      </c>
      <c r="K11" s="82">
        <v>2975.8068018000004</v>
      </c>
      <c r="L11" s="82">
        <v>2125.5762869999999</v>
      </c>
      <c r="M11" s="83">
        <f t="shared" si="0"/>
        <v>5384.7932603999998</v>
      </c>
    </row>
    <row r="12" spans="9:13" ht="15.75" x14ac:dyDescent="0.25">
      <c r="I12" s="87" t="s">
        <v>87</v>
      </c>
      <c r="J12" s="81">
        <v>283.41017160000001</v>
      </c>
      <c r="K12" s="82">
        <v>2975.8068018000004</v>
      </c>
      <c r="L12" s="82">
        <v>2125.5762869999999</v>
      </c>
      <c r="M12" s="83">
        <f t="shared" si="0"/>
        <v>5384.7932603999998</v>
      </c>
    </row>
    <row r="13" spans="9:13" ht="15.75" x14ac:dyDescent="0.25">
      <c r="I13" s="87" t="s">
        <v>104</v>
      </c>
      <c r="J13" s="81">
        <v>283.41017160000001</v>
      </c>
      <c r="K13" s="82">
        <v>2975.8068018000004</v>
      </c>
      <c r="L13" s="82">
        <v>2125.5762869999999</v>
      </c>
      <c r="M13" s="83">
        <f>SUM(J13:L13)</f>
        <v>5384.7932603999998</v>
      </c>
    </row>
    <row r="14" spans="9:13" ht="15.75" x14ac:dyDescent="0.25">
      <c r="J14">
        <v>113.36489899999999</v>
      </c>
      <c r="K14" s="39">
        <v>1190.3314395</v>
      </c>
      <c r="L14" s="39">
        <v>850.23674249999999</v>
      </c>
      <c r="M14" s="83">
        <f>SUM(J14:L14)</f>
        <v>2153.9330810000001</v>
      </c>
    </row>
    <row r="15" spans="9:13" x14ac:dyDescent="0.25">
      <c r="M15" s="70">
        <f>SUM(M7:M14)</f>
        <v>42001.578829100006</v>
      </c>
    </row>
    <row r="18" spans="9:13" x14ac:dyDescent="0.25">
      <c r="I18" s="189" t="s">
        <v>110</v>
      </c>
      <c r="J18" s="189"/>
      <c r="K18" s="189"/>
      <c r="L18" s="189"/>
      <c r="M18" s="189"/>
    </row>
    <row r="19" spans="9:13" x14ac:dyDescent="0.25">
      <c r="I19" s="188"/>
      <c r="J19" s="188"/>
      <c r="K19" s="188"/>
      <c r="L19" s="188"/>
      <c r="M19" s="188"/>
    </row>
    <row r="20" spans="9:13" x14ac:dyDescent="0.25">
      <c r="I20" s="77"/>
      <c r="J20" s="77" t="s">
        <v>111</v>
      </c>
      <c r="K20" s="77" t="s">
        <v>112</v>
      </c>
      <c r="L20" s="77" t="s">
        <v>113</v>
      </c>
      <c r="M20" s="77" t="s">
        <v>39</v>
      </c>
    </row>
    <row r="21" spans="9:13" ht="15.75" x14ac:dyDescent="0.25">
      <c r="I21" s="84" t="s">
        <v>85</v>
      </c>
      <c r="J21" s="81">
        <v>396.77714649999996</v>
      </c>
      <c r="K21" s="82">
        <v>4166.1610762</v>
      </c>
      <c r="L21" s="82">
        <v>2975.9064450000001</v>
      </c>
      <c r="M21" s="83">
        <f t="shared" ref="M21:M26" si="1">SUM(J21:L21)</f>
        <v>7538.8446676999993</v>
      </c>
    </row>
    <row r="22" spans="9:13" ht="15.75" x14ac:dyDescent="0.25">
      <c r="I22" s="85" t="s">
        <v>86</v>
      </c>
      <c r="J22" s="81">
        <v>283.41224750000003</v>
      </c>
      <c r="K22" s="82">
        <v>2975.8296366999998</v>
      </c>
      <c r="L22" s="82">
        <v>2125.5928941999996</v>
      </c>
      <c r="M22" s="83">
        <f t="shared" si="1"/>
        <v>5384.8347783999998</v>
      </c>
    </row>
    <row r="23" spans="9:13" ht="15.75" x14ac:dyDescent="0.25">
      <c r="I23" s="86" t="s">
        <v>101</v>
      </c>
      <c r="J23" s="81">
        <v>283.41017160000001</v>
      </c>
      <c r="K23" s="82">
        <v>2975.8068018000004</v>
      </c>
      <c r="L23" s="82">
        <v>2125.5762869999999</v>
      </c>
      <c r="M23" s="83">
        <f t="shared" si="1"/>
        <v>5384.7932603999998</v>
      </c>
    </row>
    <row r="24" spans="9:13" ht="15.75" x14ac:dyDescent="0.25">
      <c r="I24" s="87" t="s">
        <v>102</v>
      </c>
      <c r="J24" s="81">
        <v>283.41017160000001</v>
      </c>
      <c r="K24" s="82">
        <v>2975.8068018000004</v>
      </c>
      <c r="L24" s="82">
        <v>2125.5762869999999</v>
      </c>
      <c r="M24" s="83">
        <f t="shared" si="1"/>
        <v>5384.7932603999998</v>
      </c>
    </row>
    <row r="25" spans="9:13" ht="15.75" x14ac:dyDescent="0.25">
      <c r="I25" s="87" t="s">
        <v>103</v>
      </c>
      <c r="J25" s="81">
        <v>283.41017160000001</v>
      </c>
      <c r="K25" s="82">
        <v>2975.8068018000004</v>
      </c>
      <c r="L25" s="82">
        <v>2125.5762869999999</v>
      </c>
      <c r="M25" s="83">
        <f t="shared" si="1"/>
        <v>5384.7932603999998</v>
      </c>
    </row>
    <row r="26" spans="9:13" ht="15.75" x14ac:dyDescent="0.25">
      <c r="I26" s="87" t="s">
        <v>87</v>
      </c>
      <c r="J26" s="81">
        <v>283.41017160000001</v>
      </c>
      <c r="K26" s="82">
        <v>2975.8068018000004</v>
      </c>
      <c r="L26" s="82">
        <v>2125.5762869999999</v>
      </c>
      <c r="M26" s="83">
        <f t="shared" si="1"/>
        <v>5384.7932603999998</v>
      </c>
    </row>
    <row r="27" spans="9:13" ht="15.75" x14ac:dyDescent="0.25">
      <c r="I27" s="87" t="s">
        <v>104</v>
      </c>
      <c r="J27" s="81">
        <v>283.41017160000001</v>
      </c>
      <c r="K27" s="82">
        <v>2975.8068018000004</v>
      </c>
      <c r="L27" s="82">
        <v>2125.5762869999999</v>
      </c>
      <c r="M27" s="83">
        <f>SUM(J27:L27)</f>
        <v>5384.7932603999998</v>
      </c>
    </row>
    <row r="28" spans="9:13" ht="15.75" x14ac:dyDescent="0.25">
      <c r="J28">
        <v>113.36489899999999</v>
      </c>
      <c r="K28" s="39">
        <v>1190.3314395</v>
      </c>
      <c r="L28" s="39">
        <v>850.23674249999999</v>
      </c>
      <c r="M28" s="83">
        <f>SUM(J28:L28)</f>
        <v>2153.9330810000001</v>
      </c>
    </row>
    <row r="29" spans="9:13" x14ac:dyDescent="0.25">
      <c r="M29" s="70">
        <f>SUM(M21:M28)</f>
        <v>42001.578829100006</v>
      </c>
    </row>
  </sheetData>
  <mergeCells count="4">
    <mergeCell ref="I5:M5"/>
    <mergeCell ref="I4:M4"/>
    <mergeCell ref="I18:M18"/>
    <mergeCell ref="I19:M19"/>
  </mergeCells>
  <phoneticPr fontId="17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2025 Ocak Bütçe</vt:lpstr>
      <vt:lpstr>2024 Ocak Bodro</vt:lpstr>
      <vt:lpstr>2026 Şubat Bütçe</vt:lpstr>
      <vt:lpstr>2026 Şubat Bodro</vt:lpstr>
      <vt:lpstr>2024  </vt:lpstr>
      <vt:lpstr>faz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Mavi07</dc:creator>
  <cp:lastModifiedBy>hamit yazıcı</cp:lastModifiedBy>
  <cp:lastPrinted>2026-02-12T10:44:33Z</cp:lastPrinted>
  <dcterms:created xsi:type="dcterms:W3CDTF">2024-10-08T14:03:04Z</dcterms:created>
  <dcterms:modified xsi:type="dcterms:W3CDTF">2026-03-03T11:30:11Z</dcterms:modified>
</cp:coreProperties>
</file>